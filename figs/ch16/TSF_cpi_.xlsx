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TS\figs\ch16\"/>
    </mc:Choice>
  </mc:AlternateContent>
  <xr:revisionPtr revIDLastSave="0" documentId="13_ncr:1_{74772E10-B979-435E-85E6-1B8730460DBB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EIC" sheetId="1" r:id="rId1"/>
    <sheet name="complete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9" l="1"/>
  <c r="U11" i="9"/>
  <c r="S5" i="9"/>
  <c r="C19" i="9"/>
  <c r="C18" i="9"/>
  <c r="B18" i="9"/>
  <c r="C17" i="9"/>
  <c r="B17" i="9"/>
  <c r="V16" i="9"/>
  <c r="R16" i="9"/>
  <c r="Q16" i="9"/>
  <c r="E16" i="9"/>
  <c r="L16" i="9" s="1"/>
  <c r="N16" i="9" s="1"/>
  <c r="D16" i="9"/>
  <c r="F16" i="9" s="1"/>
  <c r="M16" i="9" s="1"/>
  <c r="O16" i="9" s="1"/>
  <c r="V15" i="9"/>
  <c r="R15" i="9"/>
  <c r="Q15" i="9"/>
  <c r="E15" i="9"/>
  <c r="L15" i="9" s="1"/>
  <c r="N15" i="9" s="1"/>
  <c r="D15" i="9"/>
  <c r="F15" i="9" s="1"/>
  <c r="U15" i="9" s="1"/>
  <c r="V14" i="9"/>
  <c r="R14" i="9"/>
  <c r="Q14" i="9"/>
  <c r="E14" i="9"/>
  <c r="T14" i="9" s="1"/>
  <c r="D14" i="9"/>
  <c r="F14" i="9" s="1"/>
  <c r="U14" i="9" s="1"/>
  <c r="V13" i="9"/>
  <c r="R13" i="9"/>
  <c r="Q13" i="9"/>
  <c r="F13" i="9"/>
  <c r="M13" i="9" s="1"/>
  <c r="O13" i="9" s="1"/>
  <c r="E13" i="9"/>
  <c r="T13" i="9" s="1"/>
  <c r="D13" i="9"/>
  <c r="S13" i="9" s="1"/>
  <c r="V12" i="9"/>
  <c r="R12" i="9"/>
  <c r="Q12" i="9"/>
  <c r="E12" i="9"/>
  <c r="L12" i="9" s="1"/>
  <c r="N12" i="9" s="1"/>
  <c r="D12" i="9"/>
  <c r="S12" i="9" s="1"/>
  <c r="V11" i="9"/>
  <c r="R11" i="9"/>
  <c r="Q11" i="9"/>
  <c r="E11" i="9"/>
  <c r="L11" i="9" s="1"/>
  <c r="N11" i="9" s="1"/>
  <c r="D11" i="9"/>
  <c r="F11" i="9" s="1"/>
  <c r="V10" i="9"/>
  <c r="R10" i="9"/>
  <c r="Q10" i="9"/>
  <c r="E10" i="9"/>
  <c r="T10" i="9" s="1"/>
  <c r="D10" i="9"/>
  <c r="F10" i="9" s="1"/>
  <c r="U10" i="9" s="1"/>
  <c r="V9" i="9"/>
  <c r="R9" i="9"/>
  <c r="Q9" i="9"/>
  <c r="E9" i="9"/>
  <c r="T9" i="9" s="1"/>
  <c r="D9" i="9"/>
  <c r="S9" i="9" s="1"/>
  <c r="V8" i="9"/>
  <c r="R8" i="9"/>
  <c r="Q8" i="9"/>
  <c r="E8" i="9"/>
  <c r="J8" i="9" s="1"/>
  <c r="D8" i="9"/>
  <c r="S8" i="9" s="1"/>
  <c r="V7" i="9"/>
  <c r="R7" i="9"/>
  <c r="Q7" i="9"/>
  <c r="E7" i="9"/>
  <c r="L7" i="9" s="1"/>
  <c r="N7" i="9" s="1"/>
  <c r="D7" i="9"/>
  <c r="S7" i="9" s="1"/>
  <c r="V6" i="9"/>
  <c r="R6" i="9"/>
  <c r="Q6" i="9"/>
  <c r="E6" i="9"/>
  <c r="T6" i="9" s="1"/>
  <c r="D6" i="9"/>
  <c r="F6" i="9" s="1"/>
  <c r="V5" i="9"/>
  <c r="R5" i="9"/>
  <c r="Q5" i="9"/>
  <c r="F5" i="9"/>
  <c r="U5" i="9" s="1"/>
  <c r="E5" i="9"/>
  <c r="T5" i="9" s="1"/>
  <c r="D5" i="9"/>
  <c r="L14" i="9" l="1"/>
  <c r="N14" i="9" s="1"/>
  <c r="H5" i="9"/>
  <c r="F8" i="9"/>
  <c r="M8" i="9" s="1"/>
  <c r="O8" i="9" s="1"/>
  <c r="H13" i="9"/>
  <c r="S16" i="9"/>
  <c r="H6" i="9"/>
  <c r="L6" i="9"/>
  <c r="N6" i="9" s="1"/>
  <c r="L9" i="9"/>
  <c r="N9" i="9" s="1"/>
  <c r="H14" i="9"/>
  <c r="V17" i="9"/>
  <c r="L5" i="9"/>
  <c r="N5" i="9" s="1"/>
  <c r="F9" i="9"/>
  <c r="I9" i="9" s="1"/>
  <c r="H10" i="9"/>
  <c r="F12" i="9"/>
  <c r="K12" i="9" s="1"/>
  <c r="L13" i="9"/>
  <c r="N13" i="9" s="1"/>
  <c r="S6" i="9"/>
  <c r="S10" i="9"/>
  <c r="S14" i="9"/>
  <c r="U13" i="9"/>
  <c r="H9" i="9"/>
  <c r="L10" i="9"/>
  <c r="N10" i="9" s="1"/>
  <c r="S11" i="9"/>
  <c r="S15" i="9"/>
  <c r="U16" i="9"/>
  <c r="U8" i="9"/>
  <c r="F7" i="9"/>
  <c r="U7" i="9" s="1"/>
  <c r="D17" i="9"/>
  <c r="K15" i="9"/>
  <c r="M15" i="9"/>
  <c r="O15" i="9" s="1"/>
  <c r="I15" i="9"/>
  <c r="E22" i="9"/>
  <c r="M5" i="9"/>
  <c r="I5" i="9"/>
  <c r="K14" i="9"/>
  <c r="M14" i="9"/>
  <c r="O14" i="9" s="1"/>
  <c r="I14" i="9"/>
  <c r="Q17" i="9"/>
  <c r="K11" i="9"/>
  <c r="M11" i="9"/>
  <c r="O11" i="9" s="1"/>
  <c r="I11" i="9"/>
  <c r="L8" i="9"/>
  <c r="N8" i="9" s="1"/>
  <c r="H8" i="9"/>
  <c r="T8" i="9"/>
  <c r="K6" i="9"/>
  <c r="M6" i="9"/>
  <c r="O6" i="9" s="1"/>
  <c r="I6" i="9"/>
  <c r="D18" i="9"/>
  <c r="K5" i="9"/>
  <c r="R17" i="9"/>
  <c r="K10" i="9"/>
  <c r="M10" i="9"/>
  <c r="O10" i="9" s="1"/>
  <c r="I10" i="9"/>
  <c r="J12" i="9"/>
  <c r="T12" i="9"/>
  <c r="K13" i="9"/>
  <c r="J16" i="9"/>
  <c r="T16" i="9"/>
  <c r="J7" i="9"/>
  <c r="T7" i="9"/>
  <c r="T17" i="9" s="1"/>
  <c r="D30" i="9" s="1"/>
  <c r="J11" i="9"/>
  <c r="T11" i="9"/>
  <c r="J15" i="9"/>
  <c r="T15" i="9"/>
  <c r="K16" i="9"/>
  <c r="J6" i="9"/>
  <c r="J10" i="9"/>
  <c r="H12" i="9"/>
  <c r="I13" i="9"/>
  <c r="J14" i="9"/>
  <c r="H16" i="9"/>
  <c r="D22" i="9"/>
  <c r="D19" i="9"/>
  <c r="J5" i="9"/>
  <c r="H7" i="9"/>
  <c r="J9" i="9"/>
  <c r="H11" i="9"/>
  <c r="J13" i="9"/>
  <c r="H15" i="9"/>
  <c r="I16" i="9"/>
  <c r="I12" i="9" l="1"/>
  <c r="K8" i="9"/>
  <c r="S17" i="9"/>
  <c r="N17" i="9"/>
  <c r="D28" i="9" s="1"/>
  <c r="L17" i="9"/>
  <c r="D27" i="9" s="1"/>
  <c r="I8" i="9"/>
  <c r="H17" i="9"/>
  <c r="D23" i="9" s="1"/>
  <c r="D33" i="9" s="1"/>
  <c r="M9" i="9"/>
  <c r="O9" i="9" s="1"/>
  <c r="U9" i="9"/>
  <c r="U17" i="9" s="1"/>
  <c r="E30" i="9" s="1"/>
  <c r="K9" i="9"/>
  <c r="K17" i="9" s="1"/>
  <c r="E26" i="9" s="1"/>
  <c r="M12" i="9"/>
  <c r="O12" i="9" s="1"/>
  <c r="U12" i="9"/>
  <c r="O5" i="9"/>
  <c r="J17" i="9"/>
  <c r="D26" i="9" s="1"/>
  <c r="K7" i="9"/>
  <c r="M7" i="9"/>
  <c r="O7" i="9" s="1"/>
  <c r="I7" i="9"/>
  <c r="I17" i="9" l="1"/>
  <c r="E23" i="9" s="1"/>
  <c r="E33" i="9" s="1"/>
  <c r="D32" i="9"/>
  <c r="D24" i="9"/>
  <c r="D29" i="9" s="1"/>
  <c r="O17" i="9"/>
  <c r="E28" i="9" s="1"/>
  <c r="D25" i="9"/>
  <c r="E31" i="9"/>
  <c r="E32" i="9"/>
  <c r="D31" i="9"/>
  <c r="E24" i="9"/>
  <c r="E29" i="9" s="1"/>
  <c r="E25" i="9"/>
  <c r="M17" i="9"/>
  <c r="E27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learning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iQAAB+LCAAAAAAABADtvQdgHEmWJSYvbcp7f0r1StfgdKEIgGATJNiQQBDswYjN5pLsHWlHIymrKoHKZVZlXWYWQMztnbz33nvvvffee++997o7nU4n99//P1xmZAFs9s5K2smeIYCqyB8/fnwfPyIe/x7vFmV6mddNUS0/+2h3vPNRmi+n1axYXnz20bo939799KPf4+jx6btpXr7M6myRt9Q4pbeWzaN3TfHZR/O2XT26e/fq6mp8dW9c1Rd393Z2du/+3l88fz2d54tsu1g2bbac5h/Zt2Y3v/XR0eOT2eKLvM1mWZvJm599dPb6bHySF9On9NkX2TK7yOvxk3VTLPOmOV22RVvkDd6s86zNT55+8ZMysKO98afj3cd3e5+7lk/WRTmTdkFL+VzbUbf5m2KRH+3t7H66vbu3vXPwZvfeo729R3s743sP9u8/eLD7yc6DRzs7BoJ94/FXq5n/9w6Ndpv/92Zn5xH/7/HdTpvHz7OmfZ3Xl8WUP3jdZosV971L/+zs3/v03v7ju9FG1L+j3tHjL8vZq/yyaPLZSV6WOn23JGd6V6f/eNoSzd7r3SMalPeuAvoAHD6vs9X8TdGW+Xu//6yq8ynR6uv1/iK/+rJWGr5ZPaev38yLur1+ml2/P7Cvmrz+cgWKvN+7R4+fVsv2uMzrVlhlRhNPXxydZ2WTP7478K1762nRTOn3YrnOZ72Xgi8ff7eq3zarbJq/IJkH0k+rq2VZZTNisLZo2mLqddv75vHLuloRTOr+SVXOnhFc0zryjYV9tiQ6o+cnVfW2Cz788jGzAjMFzewis/B7nz9+Pa+uvlyW16/Xk2ZaF5N89vSJaR397jFEUN8+XrcV/SymhIj79PHJuqHP3SdMoXxaLLLyZUlUa47u0QvBB48B6rxoT6pyvVha6nU+ffxdwv9N/s6Ox/79+EuazSVoXC3PlqZ9W6+pUfSr8IVX1ZXts/8FD9n7+LiZKujIF93GT+kzM1n9b5j+GOWzoiTj4VPe+zTkgdfzPG8NAv0vHkPTPYM1Ojouy8d33Z+PiQmJlQmLuIp1Xz8+Xc6G25kvH79YL76ckLxe8niOdum7zkePaQTlkzJbvqVPv1u08xfHZoyRbx7LeAfb9797TIK5KrNr/tjS2f/s8dlyWq5nucj72fKcWRK4aevB7x/3PnpOEizMfJ6tS7IsLWmECyfrnY8fHzdv7R8yX/4nj7+qSzN/R7D5DRn96WwxnpKuIx2VjafVAh/cJVv73ddkAr32UNnT/HR58TxbXqxJJVoydT+3zANRflNnywbj6avHTY0eG7KLZj7qz93ju50mj9/ki1VVZ+UXRJLi2XrJVs5odiLiF1k71z9JKMt86lPYvGzfC9EyWN/UjMVLxgBVrZPQ+ZAbgaHFPXBt3GePMcgvqhnZ56wsJnXAQNHvaLacITOsxKN7P6NmJoD8S9Ibv1d+DbfB/aGfv7le5Ue75gv+6/EJoXT0+tW9B3uf3rsPpwt/P+YRnxBO60Vepy9r8ozSs+Usf/co/X2q34fklymiEnRTY7/Z42d1/ovW5B9fc0dfECcGH4Tfkxq8KJZZ2Wtnv3Dtj74gOzgvr72WMo7n1ZQa/ud/8x/+X/xNf/J/8Xf8Uf/V3/Z3/2d/79/5X/xFf99/8cf9kf/Fn/43/Y9/35/zn/9Jf9x/8Tf+aTIoafz4TTYpc0bozZPdg90H9+4TF9nPHhtCCgnJHM/W01aaf5vNs/0bMwO/kv84OT07+fz5E2Ib70PzOkz/ujnSv4gfLCD9hnzZ62pt/jqG2+r9TR3xoBkv+7tOvDcK/UA5Rl9+wyi5v4Nvn+Yw6yKucEIv87C1//3Qi0LW//Lv/Sv/y7/3rx98W2nv7Mvuw08/vY35kVhiyPzAu/+Kvbkw8PAbd9oYnU7hzP7D/d2dhzu7Bmv6zPB9rFH3K4X0Jrs4enP25MnxdwwcfBICok+g006q9bKtry03+X+bL1mU3syzgpTpzDYRAfP+EIL+F3/r3/Sf/7l/f9BKKa2foNfX1bpWhty9d//+zsEBIeo+0+9F0omL08/zZU46LDetVEXa36WHwaaKgJVUn4f6chxwWOxTHeif90fFX+r29nldrVc9/eM+jbSMaqL+t503mSr98bjvIu1jY+l8afjmq2XRHv3ulun4z8fmQ/nL+0reDZsrPBupEMeSNPh/WgYm5ad2pfPJ4+++Zqq93fn9PTuiH8L5e1kVy7Y5+nR3lx0//fMxvbsLZcU/H58tyLYxZCYMQeh88vjbWXP6rn1FmQ3C7ojsSvgBIbqi7EpbOffYfiD63BHwv/qL/6r0zbfHZ+S2Qv8PmwZSFrv/+d/9t322CyXRAeKAHvFvBuKjNG4LAasDCEizru9KK3X9X/9Bf85/9bf9lf/VH/FX/Vd/6B+EsXTa+W9aVfCI+jov2bUIXrGtxdqf3Lv3qf1eLVq1KqZ9ndH52DXztI/7TL4WzfVyd++efic9wIOZZI1HwP/8D/+r/ss/6Q8lQv8Xf/zf8J//PX8qRz6dJsFbR5+X1SQrU/NZ+IJry/19/vzLJ8fPXRNB4st6RtOCVIa6guxjnjXmT+vtu0/oW/LYpusSgWqvWf8rC9pTQBwNIKw7P54hLxgPmIIWFB7Xtbg7S00uvl6vyI21Ue1wA86OeK7rC3EzfWfW/X32NPye/va+hZkKvma7hT9Zv+hXomvOGkSX4om+AHHcn/SdmFcTKvD34UePNaUIYpHnc1noVH339WldV3VUx7hvTLMvyDEmveHPsW0kcy1utA0O3AdGs30D7vSnn+7ee/jw/o3u9G096f+XO9H/v/Gd7/3/yHd+8HPtO9/bf/hg9+D+zt4m39lrtNF3/r3Pzp4YOP8v953vD/vOT9a0prFOq/OU8g+kkAiF9JRSxtWimELSibGbzS71f/R3/TX/0d/1t/5Hf9ef/R/9XX/zf/R3/cH/0d/1p/Evfwx/8rf/R3/3H/Qf/V1/1X/0d/2l/9Hf9Vf/R3/Xn8QN/rb/6O/6o/iXv4U//8P+o7/7j6bff+SN/6x4487J6zvl7rsB3zz68jfqou/+/p5t6rvo+w+/SRf9xY9c9B+56MG3/3900X/kondc9I6O+Vly0fUX5MqtAqye5mXevv+6tnn9i+ry679Mcdt7v3vWfFnODE3f52VHGQfAX98HB70XQGBzXNfkT81pdfD91tT9pe1XtJ70fj0r2vwiURPdM//zb0i72k9o3a9u2t8bhkd/k09+H/vJ7yMe6+99tCdu6e8tf/8+knuSX8m79fqzK1r6t0hsy01ovel5sSjecy1mx4h9CMT0SzEEjYWWKJuj/we/ihoGOiQAAA==</t>
        </r>
      </text>
    </comment>
  </commentList>
</comments>
</file>

<file path=xl/sharedStrings.xml><?xml version="1.0" encoding="utf-8"?>
<sst xmlns="http://schemas.openxmlformats.org/spreadsheetml/2006/main" count="74" uniqueCount="74">
  <si>
    <t>Select this link and click Refresh/Edit Download to update data and add or remove series</t>
  </si>
  <si>
    <t>Consumer Price Index: YoY (Thailand)</t>
  </si>
  <si>
    <t>Consumer Price Index (Thailand)</t>
  </si>
  <si>
    <t>Thailand year-on-year all items CPI inflation in %</t>
    <phoneticPr fontId="5" type="noConversion"/>
  </si>
  <si>
    <t>date</t>
    <phoneticPr fontId="5" type="noConversion"/>
  </si>
  <si>
    <t>2013 - Dec</t>
    <phoneticPr fontId="5" type="noConversion"/>
  </si>
  <si>
    <t>2014 - Jan</t>
    <phoneticPr fontId="5" type="noConversion"/>
  </si>
  <si>
    <t>2014 - Feb</t>
    <phoneticPr fontId="5" type="noConversion"/>
  </si>
  <si>
    <t>2014 - Mar</t>
    <phoneticPr fontId="5" type="noConversion"/>
  </si>
  <si>
    <t>2014 - Apr</t>
    <phoneticPr fontId="5" type="noConversion"/>
  </si>
  <si>
    <t>2014 - May</t>
    <phoneticPr fontId="5" type="noConversion"/>
  </si>
  <si>
    <t>2014 - Jun</t>
    <phoneticPr fontId="5" type="noConversion"/>
  </si>
  <si>
    <t>2014 - Jul</t>
    <phoneticPr fontId="5" type="noConversion"/>
  </si>
  <si>
    <t>2014 - Aug</t>
    <phoneticPr fontId="5" type="noConversion"/>
  </si>
  <si>
    <t>2014 - Sep</t>
    <phoneticPr fontId="5" type="noConversion"/>
  </si>
  <si>
    <t>2014 - Oct</t>
    <phoneticPr fontId="5" type="noConversion"/>
  </si>
  <si>
    <t>2014 - Nov</t>
    <phoneticPr fontId="5" type="noConversion"/>
  </si>
  <si>
    <t>2014 - Dec</t>
    <phoneticPr fontId="5" type="noConversion"/>
  </si>
  <si>
    <t>Average</t>
    <phoneticPr fontId="5" type="noConversion"/>
  </si>
  <si>
    <t>Std. Dev.</t>
    <phoneticPr fontId="5" type="noConversion"/>
  </si>
  <si>
    <t>Correlation with actual observation</t>
    <phoneticPr fontId="5" type="noConversion"/>
  </si>
  <si>
    <t>Forecast 1 (f1)</t>
    <phoneticPr fontId="5" type="noConversion"/>
  </si>
  <si>
    <t>Forecast 2 (f2)</t>
    <phoneticPr fontId="5" type="noConversion"/>
  </si>
  <si>
    <t>Obs. Error 1 (e1)</t>
    <phoneticPr fontId="5" type="noConversion"/>
  </si>
  <si>
    <t>Obs. Error 2 (e2)</t>
    <phoneticPr fontId="5" type="noConversion"/>
  </si>
  <si>
    <t>(e1)^2</t>
    <phoneticPr fontId="5" type="noConversion"/>
  </si>
  <si>
    <t>(e2)^2</t>
    <phoneticPr fontId="5" type="noConversion"/>
  </si>
  <si>
    <t>abs(e1)</t>
    <phoneticPr fontId="5" type="noConversion"/>
  </si>
  <si>
    <t>abs(e2)</t>
    <phoneticPr fontId="5" type="noConversion"/>
  </si>
  <si>
    <t>pe1</t>
    <phoneticPr fontId="5" type="noConversion"/>
  </si>
  <si>
    <t>pe2</t>
    <phoneticPr fontId="5" type="noConversion"/>
  </si>
  <si>
    <t>abs(ps1)</t>
    <phoneticPr fontId="5" type="noConversion"/>
  </si>
  <si>
    <t>abs(ps2)</t>
    <phoneticPr fontId="5" type="noConversion"/>
  </si>
  <si>
    <r>
      <t>Actual inflation (</t>
    </r>
    <r>
      <rPr>
        <b/>
        <sz val="11"/>
        <color theme="1"/>
        <rFont val="Calibri"/>
        <family val="2"/>
      </rPr>
      <t>π</t>
    </r>
    <r>
      <rPr>
        <b/>
        <sz val="11"/>
        <color theme="1"/>
        <rFont val="맑은 고딕"/>
        <family val="3"/>
        <charset val="129"/>
      </rPr>
      <t>)</t>
    </r>
    <phoneticPr fontId="5" type="noConversion"/>
  </si>
  <si>
    <t>Components for forecast evaluation statistics</t>
    <phoneticPr fontId="5" type="noConversion"/>
  </si>
  <si>
    <t>Forecast evaluation statistics</t>
    <phoneticPr fontId="5" type="noConversion"/>
  </si>
  <si>
    <t>Bias</t>
    <phoneticPr fontId="5" type="noConversion"/>
  </si>
  <si>
    <t>Mean square error (MSE)</t>
    <phoneticPr fontId="5" type="noConversion"/>
  </si>
  <si>
    <t>Standard forecast error (SE)</t>
    <phoneticPr fontId="5" type="noConversion"/>
  </si>
  <si>
    <t>Mean absolute error (MAE)</t>
    <phoneticPr fontId="5" type="noConversion"/>
  </si>
  <si>
    <t>Mean percentage error</t>
    <phoneticPr fontId="5" type="noConversion"/>
  </si>
  <si>
    <t>Mean absolute percentage error (MAPE)</t>
    <phoneticPr fontId="5" type="noConversion"/>
  </si>
  <si>
    <t>Theil's U1</t>
    <phoneticPr fontId="5" type="noConversion"/>
  </si>
  <si>
    <t>Theil's U2</t>
    <phoneticPr fontId="5" type="noConversion"/>
  </si>
  <si>
    <t>Notation</t>
    <phoneticPr fontId="5" type="noConversion"/>
  </si>
  <si>
    <t>π</t>
    <phoneticPr fontId="5" type="noConversion"/>
  </si>
  <si>
    <t>actual inflation</t>
    <phoneticPr fontId="5" type="noConversion"/>
  </si>
  <si>
    <t>f1, f2</t>
    <phoneticPr fontId="5" type="noConversion"/>
  </si>
  <si>
    <t>forecasts according to 1st and 2nd model respectively</t>
    <phoneticPr fontId="5" type="noConversion"/>
  </si>
  <si>
    <t>e1, e2</t>
    <phoneticPr fontId="5" type="noConversion"/>
  </si>
  <si>
    <t>forecast errors according to 1st and 2nd model respectively</t>
    <phoneticPr fontId="5" type="noConversion"/>
  </si>
  <si>
    <t>abs(x)</t>
    <phoneticPr fontId="5" type="noConversion"/>
  </si>
  <si>
    <t>absolute value of x</t>
    <phoneticPr fontId="5" type="noConversion"/>
  </si>
  <si>
    <t>pe1, pe2</t>
    <phoneticPr fontId="5" type="noConversion"/>
  </si>
  <si>
    <t>percentage forecast errors of 1st and 2nd model respectively</t>
    <phoneticPr fontId="5" type="noConversion"/>
  </si>
  <si>
    <t>f1 num, f2 num</t>
    <phoneticPr fontId="5" type="noConversion"/>
  </si>
  <si>
    <t>denom</t>
    <phoneticPr fontId="5" type="noConversion"/>
  </si>
  <si>
    <t>Denominator for Theil's U2 statistic</t>
    <phoneticPr fontId="5" type="noConversion"/>
  </si>
  <si>
    <t>Numerator for Theil's U2 statistic for the 1st and 2nd model respectively</t>
    <phoneticPr fontId="5" type="noConversion"/>
  </si>
  <si>
    <t>Forecast 1</t>
    <phoneticPr fontId="5" type="noConversion"/>
  </si>
  <si>
    <t>Forecast 2</t>
    <phoneticPr fontId="5" type="noConversion"/>
  </si>
  <si>
    <t>Root mean square error (RMSE)</t>
    <phoneticPr fontId="5" type="noConversion"/>
  </si>
  <si>
    <t>U1 calculations</t>
    <phoneticPr fontId="5" type="noConversion"/>
  </si>
  <si>
    <r>
      <rPr>
        <b/>
        <sz val="11"/>
        <color theme="1"/>
        <rFont val="맑은 고딕"/>
        <family val="3"/>
        <charset val="129"/>
        <scheme val="minor"/>
      </rPr>
      <t>π^2</t>
    </r>
    <phoneticPr fontId="5" type="noConversion"/>
  </si>
  <si>
    <t>f1^2</t>
    <phoneticPr fontId="5" type="noConversion"/>
  </si>
  <si>
    <t>f2^2</t>
    <phoneticPr fontId="5" type="noConversion"/>
  </si>
  <si>
    <t>f1 num</t>
    <phoneticPr fontId="5" type="noConversion"/>
  </si>
  <si>
    <t>f2 num</t>
    <phoneticPr fontId="5" type="noConversion"/>
  </si>
  <si>
    <t>denom</t>
    <phoneticPr fontId="5" type="noConversion"/>
  </si>
  <si>
    <t>U2 calculations</t>
    <phoneticPr fontId="5" type="noConversion"/>
  </si>
  <si>
    <t>Bias proportion</t>
    <phoneticPr fontId="5" type="noConversion"/>
  </si>
  <si>
    <t>Variance proportion</t>
    <phoneticPr fontId="5" type="noConversion"/>
  </si>
  <si>
    <t>Covariance proportion</t>
    <phoneticPr fontId="5" type="noConversion"/>
  </si>
  <si>
    <t>* orange reported by Eviews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</si>
</sst>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.000"/>
    <numFmt numFmtId="177" formatCode="\ [$]mm/yyyy"/>
    <numFmt numFmtId="178" formatCode="0.000_ "/>
    <numFmt numFmtId="179" formatCode="0.000_);[Red]\(0.000\)"/>
    <numFmt numFmtId="180" formatCode="#,##0.00000000_ "/>
  </numFmts>
  <fonts count="14" x14ac:knownFonts="1">
    <font>
      <sz val="11"/>
      <color theme="1"/>
      <name val="맑은 고딕"/>
      <family val="2"/>
      <scheme val="minor"/>
    </font>
    <font>
      <sz val="11"/>
      <color rgb="FF000000"/>
      <name val="맑은 고딕"/>
      <family val="2"/>
      <scheme val="minor"/>
    </font>
    <font>
      <u/>
      <sz val="11"/>
      <color rgb="FF0000FF"/>
      <name val="맑은 고딕"/>
      <family val="2"/>
      <scheme val="minor"/>
    </font>
    <font>
      <sz val="11"/>
      <color rgb="FF0000FF"/>
      <name val="맑은 고딕"/>
      <family val="2"/>
      <scheme val="minor"/>
    </font>
    <font>
      <b/>
      <sz val="9"/>
      <color indexed="81"/>
      <name val="Tahoma"/>
      <family val="2"/>
    </font>
    <font>
      <sz val="8"/>
      <name val="맑은 고딕"/>
      <family val="3"/>
      <charset val="129"/>
      <scheme val="minor"/>
    </font>
    <font>
      <sz val="11"/>
      <color theme="1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theme="1"/>
      <name val="Calibri"/>
      <family val="2"/>
    </font>
    <font>
      <b/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sz val="8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177" fontId="0" fillId="0" borderId="0" xfId="0" applyNumberFormat="1"/>
    <xf numFmtId="176" fontId="1" fillId="0" borderId="0" xfId="0" applyNumberFormat="1" applyFont="1"/>
    <xf numFmtId="176" fontId="3" fillId="0" borderId="0" xfId="0" applyNumberFormat="1" applyFont="1"/>
    <xf numFmtId="178" fontId="0" fillId="0" borderId="0" xfId="0" applyNumberFormat="1"/>
    <xf numFmtId="0" fontId="0" fillId="0" borderId="2" xfId="0" applyBorder="1"/>
    <xf numFmtId="0" fontId="7" fillId="0" borderId="0" xfId="0" applyFont="1"/>
    <xf numFmtId="0" fontId="7" fillId="0" borderId="2" xfId="0" applyFont="1" applyBorder="1"/>
    <xf numFmtId="0" fontId="7" fillId="2" borderId="0" xfId="0" applyFont="1" applyFill="1"/>
    <xf numFmtId="0" fontId="7" fillId="2" borderId="1" xfId="0" applyFont="1" applyFill="1" applyBorder="1"/>
    <xf numFmtId="0" fontId="0" fillId="2" borderId="0" xfId="0" applyFill="1"/>
    <xf numFmtId="0" fontId="0" fillId="2" borderId="2" xfId="0" applyFill="1" applyBorder="1"/>
    <xf numFmtId="178" fontId="0" fillId="2" borderId="0" xfId="0" applyNumberFormat="1" applyFill="1"/>
    <xf numFmtId="178" fontId="0" fillId="2" borderId="2" xfId="0" applyNumberFormat="1" applyFill="1" applyBorder="1"/>
    <xf numFmtId="0" fontId="6" fillId="2" borderId="0" xfId="0" applyFont="1" applyFill="1"/>
    <xf numFmtId="0" fontId="10" fillId="2" borderId="3" xfId="0" applyFont="1" applyFill="1" applyBorder="1"/>
    <xf numFmtId="0" fontId="0" fillId="3" borderId="0" xfId="0" applyFill="1"/>
    <xf numFmtId="0" fontId="11" fillId="2" borderId="0" xfId="0" applyFont="1" applyFill="1"/>
    <xf numFmtId="0" fontId="12" fillId="2" borderId="0" xfId="0" applyFont="1" applyFill="1"/>
    <xf numFmtId="179" fontId="0" fillId="3" borderId="0" xfId="0" applyNumberFormat="1" applyFill="1"/>
    <xf numFmtId="179" fontId="0" fillId="2" borderId="0" xfId="0" applyNumberFormat="1" applyFill="1"/>
    <xf numFmtId="179" fontId="0" fillId="0" borderId="0" xfId="0" applyNumberFormat="1"/>
    <xf numFmtId="0" fontId="0" fillId="4" borderId="0" xfId="0" applyFill="1"/>
    <xf numFmtId="0" fontId="11" fillId="4" borderId="0" xfId="0" applyFont="1" applyFill="1"/>
    <xf numFmtId="0" fontId="12" fillId="4" borderId="0" xfId="0" applyFont="1" applyFill="1"/>
    <xf numFmtId="0" fontId="7" fillId="0" borderId="4" xfId="0" applyFont="1" applyBorder="1"/>
    <xf numFmtId="4" fontId="1" fillId="0" borderId="0" xfId="0" applyNumberFormat="1" applyFont="1"/>
    <xf numFmtId="4" fontId="0" fillId="2" borderId="0" xfId="0" applyNumberFormat="1" applyFill="1"/>
    <xf numFmtId="4" fontId="1" fillId="0" borderId="2" xfId="0" applyNumberFormat="1" applyFont="1" applyBorder="1"/>
    <xf numFmtId="4" fontId="0" fillId="2" borderId="2" xfId="0" applyNumberFormat="1" applyFill="1" applyBorder="1"/>
    <xf numFmtId="180" fontId="0" fillId="2" borderId="0" xfId="0" applyNumberFormat="1" applyFill="1"/>
    <xf numFmtId="180" fontId="0" fillId="2" borderId="2" xfId="0" applyNumberFormat="1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5"/>
    </xf>
    <xf numFmtId="0" fontId="13" fillId="0" borderId="0" xfId="0" applyFont="1" applyAlignment="1">
      <alignment horizontal="left" vertical="center" indent="8"/>
    </xf>
    <xf numFmtId="0" fontId="0" fillId="0" borderId="0" xfId="0" applyAlignment="1">
      <alignment horizontal="left" vertical="center" indent="8"/>
    </xf>
    <xf numFmtId="0" fontId="7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2"/>
  <sheetViews>
    <sheetView topLeftCell="A184" workbookViewId="0">
      <selection activeCell="M22" sqref="M22"/>
    </sheetView>
  </sheetViews>
  <sheetFormatPr defaultRowHeight="17" x14ac:dyDescent="0.45"/>
  <sheetData>
    <row r="1" spans="1:15" x14ac:dyDescent="0.45">
      <c r="A1" s="1" t="s">
        <v>0</v>
      </c>
      <c r="B1" t="s">
        <v>1</v>
      </c>
      <c r="C1" t="s">
        <v>2</v>
      </c>
    </row>
    <row r="2" spans="1:15" x14ac:dyDescent="0.45">
      <c r="A2" s="2">
        <v>24108</v>
      </c>
      <c r="B2" s="3">
        <v>2.4144899999999998</v>
      </c>
      <c r="C2" s="3" t="e">
        <v>#N/A</v>
      </c>
    </row>
    <row r="3" spans="1:15" x14ac:dyDescent="0.45">
      <c r="A3" s="2">
        <v>24139</v>
      </c>
      <c r="B3" s="3">
        <v>1.9057200000000001</v>
      </c>
      <c r="C3" s="3" t="e">
        <v>#N/A</v>
      </c>
    </row>
    <row r="4" spans="1:15" x14ac:dyDescent="0.45">
      <c r="A4" s="2">
        <v>24167</v>
      </c>
      <c r="B4" s="3">
        <v>2.3952100000000001</v>
      </c>
      <c r="C4" s="3" t="e">
        <v>#N/A</v>
      </c>
    </row>
    <row r="5" spans="1:15" x14ac:dyDescent="0.45">
      <c r="A5" s="2">
        <v>24198</v>
      </c>
      <c r="B5" s="3">
        <v>3.1</v>
      </c>
      <c r="C5" s="3" t="e">
        <v>#N/A</v>
      </c>
      <c r="O5" s="37"/>
    </row>
    <row r="6" spans="1:15" x14ac:dyDescent="0.45">
      <c r="A6" s="2">
        <v>24228</v>
      </c>
      <c r="B6" s="3">
        <v>4.3042999999999996</v>
      </c>
      <c r="C6" s="3" t="e">
        <v>#N/A</v>
      </c>
    </row>
    <row r="7" spans="1:15" x14ac:dyDescent="0.45">
      <c r="A7" s="2">
        <v>24259</v>
      </c>
      <c r="B7" s="3">
        <v>4.5135399999999999</v>
      </c>
      <c r="C7" s="3" t="e">
        <v>#N/A</v>
      </c>
      <c r="O7" s="33"/>
    </row>
    <row r="8" spans="1:15" x14ac:dyDescent="0.45">
      <c r="A8" s="2">
        <v>24289</v>
      </c>
      <c r="B8" s="3">
        <v>4.5</v>
      </c>
      <c r="C8" s="3" t="e">
        <v>#N/A</v>
      </c>
      <c r="O8" s="33"/>
    </row>
    <row r="9" spans="1:15" x14ac:dyDescent="0.45">
      <c r="A9" s="2">
        <v>24320</v>
      </c>
      <c r="B9" s="3">
        <v>5.1948100000000004</v>
      </c>
      <c r="C9" s="3" t="e">
        <v>#N/A</v>
      </c>
      <c r="O9" s="33"/>
    </row>
    <row r="10" spans="1:15" x14ac:dyDescent="0.45">
      <c r="A10" s="2">
        <v>24351</v>
      </c>
      <c r="B10" s="3">
        <v>5.16899</v>
      </c>
      <c r="C10" s="3" t="e">
        <v>#N/A</v>
      </c>
    </row>
    <row r="11" spans="1:15" x14ac:dyDescent="0.45">
      <c r="A11" s="2">
        <v>24381</v>
      </c>
      <c r="B11" s="3">
        <v>5.0246300000000002</v>
      </c>
      <c r="C11" s="3" t="e">
        <v>#N/A</v>
      </c>
    </row>
    <row r="12" spans="1:15" x14ac:dyDescent="0.45">
      <c r="A12" s="2">
        <v>24412</v>
      </c>
      <c r="B12" s="3">
        <v>5.0196899999999998</v>
      </c>
      <c r="C12" s="3" t="e">
        <v>#N/A</v>
      </c>
    </row>
    <row r="13" spans="1:15" x14ac:dyDescent="0.45">
      <c r="A13" s="2">
        <v>24442</v>
      </c>
      <c r="B13" s="3">
        <v>4.8180899999999998</v>
      </c>
      <c r="C13" s="3" t="e">
        <v>#N/A</v>
      </c>
    </row>
    <row r="14" spans="1:15" x14ac:dyDescent="0.45">
      <c r="A14" s="2">
        <v>24473</v>
      </c>
      <c r="B14" s="3">
        <v>5.6974499999999999</v>
      </c>
      <c r="C14" s="3" t="e">
        <v>#N/A</v>
      </c>
    </row>
    <row r="15" spans="1:15" x14ac:dyDescent="0.45">
      <c r="A15" s="2">
        <v>24504</v>
      </c>
      <c r="B15" s="3">
        <v>5.7086600000000001</v>
      </c>
      <c r="C15" s="3" t="e">
        <v>#N/A</v>
      </c>
      <c r="O15" s="33"/>
    </row>
    <row r="16" spans="1:15" x14ac:dyDescent="0.45">
      <c r="A16" s="2">
        <v>24532</v>
      </c>
      <c r="B16" s="3">
        <v>4.77583</v>
      </c>
      <c r="C16" s="3" t="e">
        <v>#N/A</v>
      </c>
    </row>
    <row r="17" spans="1:18" x14ac:dyDescent="0.45">
      <c r="A17" s="2">
        <v>24563</v>
      </c>
      <c r="B17" s="3">
        <v>4.5586799999999998</v>
      </c>
      <c r="C17" s="3" t="e">
        <v>#N/A</v>
      </c>
    </row>
    <row r="18" spans="1:18" x14ac:dyDescent="0.45">
      <c r="A18" s="2">
        <v>24593</v>
      </c>
      <c r="B18" s="3">
        <v>3.8387699999999998</v>
      </c>
      <c r="C18" s="3" t="e">
        <v>#N/A</v>
      </c>
    </row>
    <row r="19" spans="1:18" x14ac:dyDescent="0.45">
      <c r="A19" s="2">
        <v>24624</v>
      </c>
      <c r="B19" s="3">
        <v>4.03071</v>
      </c>
      <c r="C19" s="3" t="e">
        <v>#N/A</v>
      </c>
    </row>
    <row r="20" spans="1:18" x14ac:dyDescent="0.45">
      <c r="A20" s="2">
        <v>24654</v>
      </c>
      <c r="B20" s="3">
        <v>4.1148300000000004</v>
      </c>
      <c r="C20" s="3" t="e">
        <v>#N/A</v>
      </c>
      <c r="O20" s="34"/>
    </row>
    <row r="21" spans="1:18" x14ac:dyDescent="0.45">
      <c r="A21" s="2">
        <v>24685</v>
      </c>
      <c r="B21" s="3">
        <v>3.79867</v>
      </c>
      <c r="C21" s="3" t="e">
        <v>#N/A</v>
      </c>
      <c r="G21" s="7"/>
    </row>
    <row r="22" spans="1:18" x14ac:dyDescent="0.45">
      <c r="A22" s="2">
        <v>24716</v>
      </c>
      <c r="B22" s="3">
        <v>4.5368599999999999</v>
      </c>
      <c r="C22" s="3" t="e">
        <v>#N/A</v>
      </c>
    </row>
    <row r="23" spans="1:18" x14ac:dyDescent="0.45">
      <c r="A23" s="2">
        <v>24746</v>
      </c>
      <c r="B23" s="3">
        <v>4.12758</v>
      </c>
      <c r="C23" s="3" t="e">
        <v>#N/A</v>
      </c>
      <c r="R23" s="34"/>
    </row>
    <row r="24" spans="1:18" x14ac:dyDescent="0.45">
      <c r="A24" s="2">
        <v>24777</v>
      </c>
      <c r="B24" s="3">
        <v>3.6551100000000001</v>
      </c>
      <c r="C24" s="3" t="e">
        <v>#N/A</v>
      </c>
      <c r="R24" s="35"/>
    </row>
    <row r="25" spans="1:18" x14ac:dyDescent="0.45">
      <c r="A25" s="2">
        <v>24807</v>
      </c>
      <c r="B25" s="3">
        <v>3.0018799999999999</v>
      </c>
      <c r="C25" s="3" t="e">
        <v>#N/A</v>
      </c>
      <c r="K25" s="34"/>
      <c r="R25" s="35"/>
    </row>
    <row r="26" spans="1:18" x14ac:dyDescent="0.45">
      <c r="A26" s="2">
        <v>24838</v>
      </c>
      <c r="B26" s="3">
        <v>1.67286</v>
      </c>
      <c r="C26" s="3" t="e">
        <v>#N/A</v>
      </c>
      <c r="M26" s="36"/>
    </row>
    <row r="27" spans="1:18" x14ac:dyDescent="0.45">
      <c r="A27" s="2">
        <v>24869</v>
      </c>
      <c r="B27" s="3">
        <v>2.0484200000000001</v>
      </c>
      <c r="C27" s="3" t="e">
        <v>#N/A</v>
      </c>
      <c r="L27" s="33"/>
    </row>
    <row r="28" spans="1:18" x14ac:dyDescent="0.45">
      <c r="A28" s="2">
        <v>24898</v>
      </c>
      <c r="B28" s="3">
        <v>2.69767</v>
      </c>
      <c r="C28" s="3" t="e">
        <v>#N/A</v>
      </c>
      <c r="G28" s="7"/>
    </row>
    <row r="29" spans="1:18" x14ac:dyDescent="0.45">
      <c r="A29" s="2">
        <v>24929</v>
      </c>
      <c r="B29" s="3">
        <v>2.5973999999999999</v>
      </c>
      <c r="C29" s="3" t="e">
        <v>#N/A</v>
      </c>
    </row>
    <row r="30" spans="1:18" x14ac:dyDescent="0.45">
      <c r="A30" s="2">
        <v>24959</v>
      </c>
      <c r="B30" s="3">
        <v>3.0499100000000001</v>
      </c>
      <c r="C30" s="3" t="e">
        <v>#N/A</v>
      </c>
    </row>
    <row r="31" spans="1:18" x14ac:dyDescent="0.45">
      <c r="A31" s="2">
        <v>24990</v>
      </c>
      <c r="B31" s="3">
        <v>3.3210299999999999</v>
      </c>
      <c r="C31" s="3" t="e">
        <v>#N/A</v>
      </c>
      <c r="K31" s="33"/>
    </row>
    <row r="32" spans="1:18" x14ac:dyDescent="0.45">
      <c r="A32" s="2">
        <v>25020</v>
      </c>
      <c r="B32" s="3">
        <v>1.93015</v>
      </c>
      <c r="C32" s="3" t="e">
        <v>#N/A</v>
      </c>
    </row>
    <row r="33" spans="1:13" x14ac:dyDescent="0.45">
      <c r="A33" s="2">
        <v>25051</v>
      </c>
      <c r="B33" s="3">
        <v>1.6468400000000001</v>
      </c>
      <c r="C33" s="3" t="e">
        <v>#N/A</v>
      </c>
      <c r="K33" s="34"/>
    </row>
    <row r="34" spans="1:13" x14ac:dyDescent="0.45">
      <c r="A34" s="2">
        <v>25082</v>
      </c>
      <c r="B34" s="3">
        <v>0.45207999999999998</v>
      </c>
      <c r="C34" s="3" t="e">
        <v>#N/A</v>
      </c>
      <c r="K34" s="36"/>
    </row>
    <row r="35" spans="1:13" x14ac:dyDescent="0.45">
      <c r="A35" s="2">
        <v>25112</v>
      </c>
      <c r="B35" s="3">
        <v>0.45045000000000002</v>
      </c>
      <c r="C35" s="3" t="e">
        <v>#N/A</v>
      </c>
      <c r="K35" s="36"/>
      <c r="M35" s="36"/>
    </row>
    <row r="36" spans="1:13" x14ac:dyDescent="0.45">
      <c r="A36" s="2">
        <v>25143</v>
      </c>
      <c r="B36" s="3">
        <v>0.45207999999999998</v>
      </c>
      <c r="C36" s="3" t="e">
        <v>#N/A</v>
      </c>
    </row>
    <row r="37" spans="1:13" x14ac:dyDescent="0.45">
      <c r="A37" s="2">
        <v>25173</v>
      </c>
      <c r="B37" s="3">
        <v>1.27505</v>
      </c>
      <c r="C37" s="3" t="e">
        <v>#N/A</v>
      </c>
      <c r="K37" s="34"/>
    </row>
    <row r="38" spans="1:13" x14ac:dyDescent="0.45">
      <c r="A38" s="2">
        <v>25204</v>
      </c>
      <c r="B38" s="3">
        <v>1.73675</v>
      </c>
      <c r="C38" s="3" t="e">
        <v>#N/A</v>
      </c>
    </row>
    <row r="39" spans="1:13" x14ac:dyDescent="0.45">
      <c r="A39" s="2">
        <v>25235</v>
      </c>
      <c r="B39" s="3">
        <v>2.2810199999999998</v>
      </c>
      <c r="C39" s="3" t="e">
        <v>#N/A</v>
      </c>
    </row>
    <row r="40" spans="1:13" x14ac:dyDescent="0.45">
      <c r="A40" s="2">
        <v>25263</v>
      </c>
      <c r="B40" s="3">
        <v>1.7210099999999999</v>
      </c>
      <c r="C40" s="3" t="e">
        <v>#N/A</v>
      </c>
    </row>
    <row r="41" spans="1:13" x14ac:dyDescent="0.45">
      <c r="A41" s="2">
        <v>25294</v>
      </c>
      <c r="B41" s="3">
        <v>1.8083199999999999</v>
      </c>
      <c r="C41" s="3" t="e">
        <v>#N/A</v>
      </c>
    </row>
    <row r="42" spans="1:13" x14ac:dyDescent="0.45">
      <c r="A42" s="2">
        <v>25324</v>
      </c>
      <c r="B42" s="3">
        <v>1.88341</v>
      </c>
      <c r="C42" s="3" t="e">
        <v>#N/A</v>
      </c>
    </row>
    <row r="43" spans="1:13" x14ac:dyDescent="0.45">
      <c r="A43" s="2">
        <v>25355</v>
      </c>
      <c r="B43" s="3">
        <v>1.7857099999999999</v>
      </c>
      <c r="C43" s="3" t="e">
        <v>#N/A</v>
      </c>
    </row>
    <row r="44" spans="1:13" x14ac:dyDescent="0.45">
      <c r="A44" s="2">
        <v>25385</v>
      </c>
      <c r="B44" s="3">
        <v>2.7051400000000001</v>
      </c>
      <c r="C44" s="3" t="e">
        <v>#N/A</v>
      </c>
    </row>
    <row r="45" spans="1:13" x14ac:dyDescent="0.45">
      <c r="A45" s="2">
        <v>25416</v>
      </c>
      <c r="B45" s="3">
        <v>2.43024</v>
      </c>
      <c r="C45" s="3" t="e">
        <v>#N/A</v>
      </c>
    </row>
    <row r="46" spans="1:13" x14ac:dyDescent="0.45">
      <c r="A46" s="2">
        <v>25447</v>
      </c>
      <c r="B46" s="3">
        <v>3.2403200000000001</v>
      </c>
      <c r="C46" s="3" t="e">
        <v>#N/A</v>
      </c>
    </row>
    <row r="47" spans="1:13" x14ac:dyDescent="0.45">
      <c r="A47" s="2">
        <v>25477</v>
      </c>
      <c r="B47" s="3">
        <v>3.2286999999999999</v>
      </c>
      <c r="C47" s="3" t="e">
        <v>#N/A</v>
      </c>
    </row>
    <row r="48" spans="1:13" x14ac:dyDescent="0.45">
      <c r="A48" s="2">
        <v>25508</v>
      </c>
      <c r="B48" s="3">
        <v>3.6903700000000002</v>
      </c>
      <c r="C48" s="3" t="e">
        <v>#N/A</v>
      </c>
    </row>
    <row r="49" spans="1:3" x14ac:dyDescent="0.45">
      <c r="A49" s="2">
        <v>25538</v>
      </c>
      <c r="B49" s="3">
        <v>2.8776999999999999</v>
      </c>
      <c r="C49" s="3" t="e">
        <v>#N/A</v>
      </c>
    </row>
    <row r="50" spans="1:3" x14ac:dyDescent="0.45">
      <c r="A50" s="2">
        <v>25569</v>
      </c>
      <c r="B50" s="3">
        <v>1.97664</v>
      </c>
      <c r="C50" s="3" t="e">
        <v>#N/A</v>
      </c>
    </row>
    <row r="51" spans="1:3" x14ac:dyDescent="0.45">
      <c r="A51" s="2">
        <v>25600</v>
      </c>
      <c r="B51" s="3">
        <v>2.1409500000000001</v>
      </c>
      <c r="C51" s="3" t="e">
        <v>#N/A</v>
      </c>
    </row>
    <row r="52" spans="1:3" x14ac:dyDescent="0.45">
      <c r="A52" s="2">
        <v>25628</v>
      </c>
      <c r="B52" s="3">
        <v>1.5138</v>
      </c>
      <c r="C52" s="3" t="e">
        <v>#N/A</v>
      </c>
    </row>
    <row r="53" spans="1:3" x14ac:dyDescent="0.45">
      <c r="A53" s="2">
        <v>25659</v>
      </c>
      <c r="B53" s="3">
        <v>0.62166999999999994</v>
      </c>
      <c r="C53" s="3" t="e">
        <v>#N/A</v>
      </c>
    </row>
    <row r="54" spans="1:3" x14ac:dyDescent="0.45">
      <c r="A54" s="2">
        <v>25689</v>
      </c>
      <c r="B54" s="3">
        <v>-0.17605599999999999</v>
      </c>
      <c r="C54" s="3" t="e">
        <v>#N/A</v>
      </c>
    </row>
    <row r="55" spans="1:3" x14ac:dyDescent="0.45">
      <c r="A55" s="2">
        <v>25720</v>
      </c>
      <c r="B55" s="3">
        <v>-0.263158</v>
      </c>
      <c r="C55" s="3" t="e">
        <v>#N/A</v>
      </c>
    </row>
    <row r="56" spans="1:3" x14ac:dyDescent="0.45">
      <c r="A56" s="2">
        <v>25750</v>
      </c>
      <c r="B56" s="3">
        <v>0</v>
      </c>
      <c r="C56" s="3" t="e">
        <v>#N/A</v>
      </c>
    </row>
    <row r="57" spans="1:3" x14ac:dyDescent="0.45">
      <c r="A57" s="2">
        <v>25781</v>
      </c>
      <c r="B57" s="3">
        <v>-0.70298799999999995</v>
      </c>
      <c r="C57" s="3" t="e">
        <v>#N/A</v>
      </c>
    </row>
    <row r="58" spans="1:3" x14ac:dyDescent="0.45">
      <c r="A58" s="2">
        <v>25812</v>
      </c>
      <c r="B58" s="3">
        <v>-1.30776</v>
      </c>
      <c r="C58" s="3" t="e">
        <v>#N/A</v>
      </c>
    </row>
    <row r="59" spans="1:3" x14ac:dyDescent="0.45">
      <c r="A59" s="2">
        <v>25842</v>
      </c>
      <c r="B59" s="3">
        <v>-1.47698</v>
      </c>
      <c r="C59" s="3" t="e">
        <v>#N/A</v>
      </c>
    </row>
    <row r="60" spans="1:3" x14ac:dyDescent="0.45">
      <c r="A60" s="2">
        <v>25873</v>
      </c>
      <c r="B60" s="3">
        <v>-1.9965299999999999</v>
      </c>
      <c r="C60" s="3" t="e">
        <v>#N/A</v>
      </c>
    </row>
    <row r="61" spans="1:3" x14ac:dyDescent="0.45">
      <c r="A61" s="2">
        <v>25903</v>
      </c>
      <c r="B61" s="3">
        <v>-1.2237800000000001</v>
      </c>
      <c r="C61" s="3" t="e">
        <v>#N/A</v>
      </c>
    </row>
    <row r="62" spans="1:3" x14ac:dyDescent="0.45">
      <c r="A62" s="2">
        <v>25934</v>
      </c>
      <c r="B62" s="3">
        <v>0</v>
      </c>
      <c r="C62" s="3" t="e">
        <v>#N/A</v>
      </c>
    </row>
    <row r="63" spans="1:3" x14ac:dyDescent="0.45">
      <c r="A63" s="2">
        <v>25965</v>
      </c>
      <c r="B63" s="3">
        <v>-1.5720499999999999</v>
      </c>
      <c r="C63" s="3" t="e">
        <v>#N/A</v>
      </c>
    </row>
    <row r="64" spans="1:3" x14ac:dyDescent="0.45">
      <c r="A64" s="2">
        <v>25993</v>
      </c>
      <c r="B64" s="3">
        <v>-0.96491199999999999</v>
      </c>
      <c r="C64" s="3" t="e">
        <v>#N/A</v>
      </c>
    </row>
    <row r="65" spans="1:3" x14ac:dyDescent="0.45">
      <c r="A65" s="2">
        <v>26024</v>
      </c>
      <c r="B65" s="3">
        <v>-0.17652300000000001</v>
      </c>
      <c r="C65" s="3" t="e">
        <v>#N/A</v>
      </c>
    </row>
    <row r="66" spans="1:3" x14ac:dyDescent="0.45">
      <c r="A66" s="2">
        <v>26054</v>
      </c>
      <c r="B66" s="3">
        <v>-0.70546699999999996</v>
      </c>
      <c r="C66" s="3" t="e">
        <v>#N/A</v>
      </c>
    </row>
    <row r="67" spans="1:3" x14ac:dyDescent="0.45">
      <c r="A67" s="2">
        <v>26085</v>
      </c>
      <c r="B67" s="3">
        <v>-0.35180299999999998</v>
      </c>
      <c r="C67" s="3" t="e">
        <v>#N/A</v>
      </c>
    </row>
    <row r="68" spans="1:3" x14ac:dyDescent="0.45">
      <c r="A68" s="2">
        <v>26115</v>
      </c>
      <c r="B68" s="3">
        <v>-8.7796299999999994E-2</v>
      </c>
      <c r="C68" s="3" t="e">
        <v>#N/A</v>
      </c>
    </row>
    <row r="69" spans="1:3" x14ac:dyDescent="0.45">
      <c r="A69" s="2">
        <v>26146</v>
      </c>
      <c r="B69" s="3">
        <v>1.3274300000000001</v>
      </c>
      <c r="C69" s="3" t="e">
        <v>#N/A</v>
      </c>
    </row>
    <row r="70" spans="1:3" x14ac:dyDescent="0.45">
      <c r="A70" s="2">
        <v>26177</v>
      </c>
      <c r="B70" s="3">
        <v>2.2968199999999999</v>
      </c>
      <c r="C70" s="3" t="e">
        <v>#N/A</v>
      </c>
    </row>
    <row r="71" spans="1:3" x14ac:dyDescent="0.45">
      <c r="A71" s="2">
        <v>26207</v>
      </c>
      <c r="B71" s="3">
        <v>2.29277</v>
      </c>
      <c r="C71" s="3" t="e">
        <v>#N/A</v>
      </c>
    </row>
    <row r="72" spans="1:3" x14ac:dyDescent="0.45">
      <c r="A72" s="2">
        <v>26238</v>
      </c>
      <c r="B72" s="3">
        <v>2.5686399999999998</v>
      </c>
      <c r="C72" s="3" t="e">
        <v>#N/A</v>
      </c>
    </row>
    <row r="73" spans="1:3" x14ac:dyDescent="0.45">
      <c r="A73" s="2">
        <v>26268</v>
      </c>
      <c r="B73" s="3">
        <v>1.2389399999999999</v>
      </c>
      <c r="C73" s="3" t="e">
        <v>#N/A</v>
      </c>
    </row>
    <row r="74" spans="1:3" x14ac:dyDescent="0.45">
      <c r="A74" s="2">
        <v>26299</v>
      </c>
      <c r="B74" s="3">
        <v>1.85022</v>
      </c>
      <c r="C74" s="3" t="e">
        <v>#N/A</v>
      </c>
    </row>
    <row r="75" spans="1:3" x14ac:dyDescent="0.45">
      <c r="A75" s="2">
        <v>26330</v>
      </c>
      <c r="B75" s="3">
        <v>2.8393999999999999</v>
      </c>
      <c r="C75" s="3" t="e">
        <v>#N/A</v>
      </c>
    </row>
    <row r="76" spans="1:3" x14ac:dyDescent="0.45">
      <c r="A76" s="2">
        <v>26359</v>
      </c>
      <c r="B76" s="3">
        <v>3.6315300000000001</v>
      </c>
      <c r="C76" s="3" t="e">
        <v>#N/A</v>
      </c>
    </row>
    <row r="77" spans="1:3" x14ac:dyDescent="0.45">
      <c r="A77" s="2">
        <v>26390</v>
      </c>
      <c r="B77" s="3">
        <v>3.6251099999999998</v>
      </c>
      <c r="C77" s="3" t="e">
        <v>#N/A</v>
      </c>
    </row>
    <row r="78" spans="1:3" x14ac:dyDescent="0.45">
      <c r="A78" s="2">
        <v>26420</v>
      </c>
      <c r="B78" s="3">
        <v>4.9733599999999996</v>
      </c>
      <c r="C78" s="3" t="e">
        <v>#N/A</v>
      </c>
    </row>
    <row r="79" spans="1:3" x14ac:dyDescent="0.45">
      <c r="A79" s="2">
        <v>26451</v>
      </c>
      <c r="B79" s="3">
        <v>4.7661100000000003</v>
      </c>
      <c r="C79" s="3" t="e">
        <v>#N/A</v>
      </c>
    </row>
    <row r="80" spans="1:3" x14ac:dyDescent="0.45">
      <c r="A80" s="2">
        <v>26481</v>
      </c>
      <c r="B80" s="3">
        <v>4.4815500000000004</v>
      </c>
      <c r="C80" s="3" t="e">
        <v>#N/A</v>
      </c>
    </row>
    <row r="81" spans="1:3" x14ac:dyDescent="0.45">
      <c r="A81" s="2">
        <v>26512</v>
      </c>
      <c r="B81" s="3">
        <v>4.8908300000000002</v>
      </c>
      <c r="C81" s="3" t="e">
        <v>#N/A</v>
      </c>
    </row>
    <row r="82" spans="1:3" x14ac:dyDescent="0.45">
      <c r="A82" s="2">
        <v>26543</v>
      </c>
      <c r="B82" s="3">
        <v>4.7495700000000003</v>
      </c>
      <c r="C82" s="3" t="e">
        <v>#N/A</v>
      </c>
    </row>
    <row r="83" spans="1:3" x14ac:dyDescent="0.45">
      <c r="A83" s="2">
        <v>26573</v>
      </c>
      <c r="B83" s="3">
        <v>6.1206899999999997</v>
      </c>
      <c r="C83" s="3" t="e">
        <v>#N/A</v>
      </c>
    </row>
    <row r="84" spans="1:3" x14ac:dyDescent="0.45">
      <c r="A84" s="2">
        <v>26604</v>
      </c>
      <c r="B84" s="3">
        <v>7.0811700000000002</v>
      </c>
      <c r="C84" s="3" t="e">
        <v>#N/A</v>
      </c>
    </row>
    <row r="85" spans="1:3" x14ac:dyDescent="0.45">
      <c r="A85" s="2">
        <v>26634</v>
      </c>
      <c r="B85" s="3">
        <v>8.9160799999999991</v>
      </c>
      <c r="C85" s="3" t="e">
        <v>#N/A</v>
      </c>
    </row>
    <row r="86" spans="1:3" x14ac:dyDescent="0.45">
      <c r="A86" s="2">
        <v>26665</v>
      </c>
      <c r="B86" s="3">
        <v>9.2560599999999997</v>
      </c>
      <c r="C86" s="3" t="e">
        <v>#N/A</v>
      </c>
    </row>
    <row r="87" spans="1:3" x14ac:dyDescent="0.45">
      <c r="A87" s="2">
        <v>26696</v>
      </c>
      <c r="B87" s="3">
        <v>11.1303</v>
      </c>
      <c r="C87" s="3" t="e">
        <v>#N/A</v>
      </c>
    </row>
    <row r="88" spans="1:3" x14ac:dyDescent="0.45">
      <c r="A88" s="2">
        <v>26724</v>
      </c>
      <c r="B88" s="3">
        <v>12.9915</v>
      </c>
      <c r="C88" s="3" t="e">
        <v>#N/A</v>
      </c>
    </row>
    <row r="89" spans="1:3" x14ac:dyDescent="0.45">
      <c r="A89" s="2">
        <v>26755</v>
      </c>
      <c r="B89" s="3">
        <v>13.395899999999999</v>
      </c>
      <c r="C89" s="3" t="e">
        <v>#N/A</v>
      </c>
    </row>
    <row r="90" spans="1:3" x14ac:dyDescent="0.45">
      <c r="A90" s="2">
        <v>26785</v>
      </c>
      <c r="B90" s="3">
        <v>13.8748</v>
      </c>
      <c r="C90" s="3" t="e">
        <v>#N/A</v>
      </c>
    </row>
    <row r="91" spans="1:3" x14ac:dyDescent="0.45">
      <c r="A91" s="2">
        <v>26816</v>
      </c>
      <c r="B91" s="3">
        <v>15.6698</v>
      </c>
      <c r="C91" s="3" t="e">
        <v>#N/A</v>
      </c>
    </row>
    <row r="92" spans="1:3" x14ac:dyDescent="0.45">
      <c r="A92" s="2">
        <v>26846</v>
      </c>
      <c r="B92" s="3">
        <v>16.232099999999999</v>
      </c>
      <c r="C92" s="3" t="e">
        <v>#N/A</v>
      </c>
    </row>
    <row r="93" spans="1:3" x14ac:dyDescent="0.45">
      <c r="A93" s="2">
        <v>26877</v>
      </c>
      <c r="B93" s="3">
        <v>16.236499999999999</v>
      </c>
      <c r="C93" s="3" t="e">
        <v>#N/A</v>
      </c>
    </row>
    <row r="94" spans="1:3" x14ac:dyDescent="0.45">
      <c r="A94" s="2">
        <v>26908</v>
      </c>
      <c r="B94" s="3">
        <v>17.4773</v>
      </c>
      <c r="C94" s="3" t="e">
        <v>#N/A</v>
      </c>
    </row>
    <row r="95" spans="1:3" x14ac:dyDescent="0.45">
      <c r="A95" s="2">
        <v>26938</v>
      </c>
      <c r="B95" s="3">
        <v>19.3339</v>
      </c>
      <c r="C95" s="3" t="e">
        <v>#N/A</v>
      </c>
    </row>
    <row r="96" spans="1:3" x14ac:dyDescent="0.45">
      <c r="A96" s="2">
        <v>26969</v>
      </c>
      <c r="B96" s="3">
        <v>19.435500000000001</v>
      </c>
      <c r="C96" s="3" t="e">
        <v>#N/A</v>
      </c>
    </row>
    <row r="97" spans="1:3" x14ac:dyDescent="0.45">
      <c r="A97" s="2">
        <v>26999</v>
      </c>
      <c r="B97" s="3">
        <v>20.144500000000001</v>
      </c>
      <c r="C97" s="3" t="e">
        <v>#N/A</v>
      </c>
    </row>
    <row r="98" spans="1:3" x14ac:dyDescent="0.45">
      <c r="A98" s="2">
        <v>27030</v>
      </c>
      <c r="B98" s="3">
        <v>23.5946</v>
      </c>
      <c r="C98" s="3" t="e">
        <v>#N/A</v>
      </c>
    </row>
    <row r="99" spans="1:3" x14ac:dyDescent="0.45">
      <c r="A99" s="2">
        <v>27061</v>
      </c>
      <c r="B99" s="3">
        <v>24.534199999999998</v>
      </c>
      <c r="C99" s="3" t="e">
        <v>#N/A</v>
      </c>
    </row>
    <row r="100" spans="1:3" x14ac:dyDescent="0.45">
      <c r="A100" s="2">
        <v>27089</v>
      </c>
      <c r="B100" s="3">
        <v>25.945499999999999</v>
      </c>
      <c r="C100" s="3" t="e">
        <v>#N/A</v>
      </c>
    </row>
    <row r="101" spans="1:3" x14ac:dyDescent="0.45">
      <c r="A101" s="2">
        <v>27120</v>
      </c>
      <c r="B101" s="3">
        <v>28.216699999999999</v>
      </c>
      <c r="C101" s="3" t="e">
        <v>#N/A</v>
      </c>
    </row>
    <row r="102" spans="1:3" x14ac:dyDescent="0.45">
      <c r="A102" s="2">
        <v>27150</v>
      </c>
      <c r="B102" s="3">
        <v>28.751899999999999</v>
      </c>
      <c r="C102" s="3" t="e">
        <v>#N/A</v>
      </c>
    </row>
    <row r="103" spans="1:3" x14ac:dyDescent="0.45">
      <c r="A103" s="2">
        <v>27181</v>
      </c>
      <c r="B103" s="3">
        <v>26.875499999999999</v>
      </c>
      <c r="C103" s="3" t="e">
        <v>#N/A</v>
      </c>
    </row>
    <row r="104" spans="1:3" x14ac:dyDescent="0.45">
      <c r="A104" s="2">
        <v>27211</v>
      </c>
      <c r="B104" s="3">
        <v>25.615100000000002</v>
      </c>
      <c r="C104" s="3" t="e">
        <v>#N/A</v>
      </c>
    </row>
    <row r="105" spans="1:3" x14ac:dyDescent="0.45">
      <c r="A105" s="2">
        <v>27242</v>
      </c>
      <c r="B105" s="3">
        <v>25.5731</v>
      </c>
      <c r="C105" s="3" t="e">
        <v>#N/A</v>
      </c>
    </row>
    <row r="106" spans="1:3" x14ac:dyDescent="0.45">
      <c r="A106" s="2">
        <v>27273</v>
      </c>
      <c r="B106" s="3">
        <v>24</v>
      </c>
      <c r="C106" s="3" t="e">
        <v>#N/A</v>
      </c>
    </row>
    <row r="107" spans="1:3" x14ac:dyDescent="0.45">
      <c r="A107" s="2">
        <v>27303</v>
      </c>
      <c r="B107" s="3">
        <v>21.034700000000001</v>
      </c>
      <c r="C107" s="3" t="e">
        <v>#N/A</v>
      </c>
    </row>
    <row r="108" spans="1:3" x14ac:dyDescent="0.45">
      <c r="A108" s="2">
        <v>27334</v>
      </c>
      <c r="B108" s="3">
        <v>21.066800000000001</v>
      </c>
      <c r="C108" s="3" t="e">
        <v>#N/A</v>
      </c>
    </row>
    <row r="109" spans="1:3" x14ac:dyDescent="0.45">
      <c r="A109" s="2">
        <v>27364</v>
      </c>
      <c r="B109" s="3">
        <v>17.835699999999999</v>
      </c>
      <c r="C109" s="3" t="e">
        <v>#N/A</v>
      </c>
    </row>
    <row r="110" spans="1:3" x14ac:dyDescent="0.45">
      <c r="A110" s="2">
        <v>27395</v>
      </c>
      <c r="B110" s="3">
        <v>13.4529</v>
      </c>
      <c r="C110" s="3" t="e">
        <v>#N/A</v>
      </c>
    </row>
    <row r="111" spans="1:3" x14ac:dyDescent="0.45">
      <c r="A111" s="2">
        <v>27426</v>
      </c>
      <c r="B111" s="3">
        <v>11.097300000000001</v>
      </c>
      <c r="C111" s="3" t="e">
        <v>#N/A</v>
      </c>
    </row>
    <row r="112" spans="1:3" x14ac:dyDescent="0.45">
      <c r="A112" s="2">
        <v>27454</v>
      </c>
      <c r="B112" s="3">
        <v>6.4864899999999999</v>
      </c>
      <c r="C112" s="3" t="e">
        <v>#N/A</v>
      </c>
    </row>
    <row r="113" spans="1:3" x14ac:dyDescent="0.45">
      <c r="A113" s="2">
        <v>27485</v>
      </c>
      <c r="B113" s="3">
        <v>5.5751200000000001</v>
      </c>
      <c r="C113" s="3" t="e">
        <v>#N/A</v>
      </c>
    </row>
    <row r="114" spans="1:3" x14ac:dyDescent="0.45">
      <c r="A114" s="2">
        <v>27515</v>
      </c>
      <c r="B114" s="3">
        <v>4.7893800000000004</v>
      </c>
      <c r="C114" s="3" t="e">
        <v>#N/A</v>
      </c>
    </row>
    <row r="115" spans="1:3" x14ac:dyDescent="0.45">
      <c r="A115" s="2">
        <v>27546</v>
      </c>
      <c r="B115" s="3">
        <v>3.2147000000000001</v>
      </c>
      <c r="C115" s="3" t="e">
        <v>#N/A</v>
      </c>
    </row>
    <row r="116" spans="1:3" x14ac:dyDescent="0.45">
      <c r="A116" s="2">
        <v>27576</v>
      </c>
      <c r="B116" s="3">
        <v>3.3986200000000002</v>
      </c>
      <c r="C116" s="3" t="e">
        <v>#N/A</v>
      </c>
    </row>
    <row r="117" spans="1:3" x14ac:dyDescent="0.45">
      <c r="A117" s="2">
        <v>27607</v>
      </c>
      <c r="B117" s="3">
        <v>3.8220200000000002</v>
      </c>
      <c r="C117" s="3" t="e">
        <v>#N/A</v>
      </c>
    </row>
    <row r="118" spans="1:3" x14ac:dyDescent="0.45">
      <c r="A118" s="2">
        <v>27638</v>
      </c>
      <c r="B118" s="3">
        <v>3.3389899999999999</v>
      </c>
      <c r="C118" s="3" t="e">
        <v>#N/A</v>
      </c>
    </row>
    <row r="119" spans="1:3" x14ac:dyDescent="0.45">
      <c r="A119" s="2">
        <v>27668</v>
      </c>
      <c r="B119" s="3">
        <v>2.9246300000000001</v>
      </c>
      <c r="C119" s="3" t="e">
        <v>#N/A</v>
      </c>
    </row>
    <row r="120" spans="1:3" x14ac:dyDescent="0.45">
      <c r="A120" s="2">
        <v>27699</v>
      </c>
      <c r="B120" s="3">
        <v>2.9001700000000001</v>
      </c>
      <c r="C120" s="3" t="e">
        <v>#N/A</v>
      </c>
    </row>
    <row r="121" spans="1:3" x14ac:dyDescent="0.45">
      <c r="A121" s="2">
        <v>27729</v>
      </c>
      <c r="B121" s="3">
        <v>4.4784600000000001</v>
      </c>
      <c r="C121" s="3" t="e">
        <v>#N/A</v>
      </c>
    </row>
    <row r="122" spans="1:3" x14ac:dyDescent="0.45">
      <c r="A122" s="2">
        <v>27760</v>
      </c>
      <c r="B122" s="3">
        <v>4.2256799999999997</v>
      </c>
      <c r="C122" s="3">
        <v>19.989999999999998</v>
      </c>
    </row>
    <row r="123" spans="1:3" x14ac:dyDescent="0.45">
      <c r="A123" s="2">
        <v>27791</v>
      </c>
      <c r="B123" s="3">
        <v>4.2164900000000003</v>
      </c>
      <c r="C123" s="3">
        <v>20.170000000000002</v>
      </c>
    </row>
    <row r="124" spans="1:3" x14ac:dyDescent="0.45">
      <c r="A124" s="2">
        <v>27820</v>
      </c>
      <c r="B124" s="3">
        <v>6.5514599999999996</v>
      </c>
      <c r="C124" s="3">
        <v>20.52</v>
      </c>
    </row>
    <row r="125" spans="1:3" x14ac:dyDescent="0.45">
      <c r="A125" s="2">
        <v>27851</v>
      </c>
      <c r="B125" s="3">
        <v>3.8598599999999998</v>
      </c>
      <c r="C125" s="3">
        <v>20.260000000000002</v>
      </c>
    </row>
    <row r="126" spans="1:3" x14ac:dyDescent="0.45">
      <c r="A126" s="2">
        <v>27881</v>
      </c>
      <c r="B126" s="3">
        <v>3.30247</v>
      </c>
      <c r="C126" s="3">
        <v>20.34</v>
      </c>
    </row>
    <row r="127" spans="1:3" x14ac:dyDescent="0.45">
      <c r="A127" s="2">
        <v>27912</v>
      </c>
      <c r="B127" s="3">
        <v>3.8128700000000002</v>
      </c>
      <c r="C127" s="3">
        <v>20.260000000000002</v>
      </c>
    </row>
    <row r="128" spans="1:3" x14ac:dyDescent="0.45">
      <c r="A128" s="2">
        <v>27942</v>
      </c>
      <c r="B128" s="3">
        <v>3.4617200000000001</v>
      </c>
      <c r="C128" s="3">
        <v>20.170000000000002</v>
      </c>
    </row>
    <row r="129" spans="1:3" x14ac:dyDescent="0.45">
      <c r="A129" s="2">
        <v>27973</v>
      </c>
      <c r="B129" s="3">
        <v>2.8684599999999998</v>
      </c>
      <c r="C129" s="3">
        <v>20.260000000000002</v>
      </c>
    </row>
    <row r="130" spans="1:3" x14ac:dyDescent="0.45">
      <c r="A130" s="2">
        <v>28004</v>
      </c>
      <c r="B130" s="3">
        <v>4.2839799999999997</v>
      </c>
      <c r="C130" s="3">
        <v>20.7</v>
      </c>
    </row>
    <row r="131" spans="1:3" x14ac:dyDescent="0.45">
      <c r="A131" s="2">
        <v>28034</v>
      </c>
      <c r="B131" s="3">
        <v>4.8794300000000002</v>
      </c>
      <c r="C131" s="3">
        <v>20.79</v>
      </c>
    </row>
    <row r="132" spans="1:3" x14ac:dyDescent="0.45">
      <c r="A132" s="2">
        <v>28065</v>
      </c>
      <c r="B132" s="3">
        <v>4.9455400000000003</v>
      </c>
      <c r="C132" s="3">
        <v>20.88</v>
      </c>
    </row>
    <row r="133" spans="1:3" x14ac:dyDescent="0.45">
      <c r="A133" s="2">
        <v>28095</v>
      </c>
      <c r="B133" s="3">
        <v>3.4242599999999999</v>
      </c>
      <c r="C133" s="3">
        <v>20.7</v>
      </c>
    </row>
    <row r="134" spans="1:3" x14ac:dyDescent="0.45">
      <c r="A134" s="2">
        <v>28126</v>
      </c>
      <c r="B134" s="3">
        <v>4.4522261099999998</v>
      </c>
      <c r="C134" s="3">
        <v>20.88</v>
      </c>
    </row>
    <row r="135" spans="1:3" x14ac:dyDescent="0.45">
      <c r="A135" s="2">
        <v>28157</v>
      </c>
      <c r="B135" s="3">
        <v>4.4124938</v>
      </c>
      <c r="C135" s="3">
        <v>21.06</v>
      </c>
    </row>
    <row r="136" spans="1:3" x14ac:dyDescent="0.45">
      <c r="A136" s="2">
        <v>28185</v>
      </c>
      <c r="B136" s="3">
        <v>3.50877193</v>
      </c>
      <c r="C136" s="3">
        <v>21.24</v>
      </c>
    </row>
    <row r="137" spans="1:3" x14ac:dyDescent="0.45">
      <c r="A137" s="2">
        <v>28216</v>
      </c>
      <c r="B137" s="3">
        <v>5.7255676199999996</v>
      </c>
      <c r="C137" s="3">
        <v>21.42</v>
      </c>
    </row>
    <row r="138" spans="1:3" x14ac:dyDescent="0.45">
      <c r="A138" s="2">
        <v>28246</v>
      </c>
      <c r="B138" s="3">
        <v>7.4729596899999997</v>
      </c>
      <c r="C138" s="3">
        <v>21.86</v>
      </c>
    </row>
    <row r="139" spans="1:3" x14ac:dyDescent="0.45">
      <c r="A139" s="2">
        <v>28277</v>
      </c>
      <c r="B139" s="3">
        <v>8.7857848000000001</v>
      </c>
      <c r="C139" s="3">
        <v>22.04</v>
      </c>
    </row>
    <row r="140" spans="1:3" x14ac:dyDescent="0.45">
      <c r="A140" s="2">
        <v>28307</v>
      </c>
      <c r="B140" s="3">
        <v>9.7174020799999994</v>
      </c>
      <c r="C140" s="3">
        <v>22.13</v>
      </c>
    </row>
    <row r="141" spans="1:3" x14ac:dyDescent="0.45">
      <c r="A141" s="2">
        <v>28338</v>
      </c>
      <c r="B141" s="3">
        <v>10.56268509</v>
      </c>
      <c r="C141" s="3">
        <v>22.4</v>
      </c>
    </row>
    <row r="142" spans="1:3" x14ac:dyDescent="0.45">
      <c r="A142" s="2">
        <v>28369</v>
      </c>
      <c r="B142" s="3">
        <v>9.0821255999999995</v>
      </c>
      <c r="C142" s="3">
        <v>22.58</v>
      </c>
    </row>
    <row r="143" spans="1:3" x14ac:dyDescent="0.45">
      <c r="A143" s="2">
        <v>28399</v>
      </c>
      <c r="B143" s="3">
        <v>9.4276094300000004</v>
      </c>
      <c r="C143" s="3">
        <v>22.75</v>
      </c>
    </row>
    <row r="144" spans="1:3" x14ac:dyDescent="0.45">
      <c r="A144" s="2">
        <v>28430</v>
      </c>
      <c r="B144" s="3">
        <v>8.5249042100000008</v>
      </c>
      <c r="C144" s="3">
        <v>22.66</v>
      </c>
    </row>
    <row r="145" spans="1:3" x14ac:dyDescent="0.45">
      <c r="A145" s="2">
        <v>28460</v>
      </c>
      <c r="B145" s="3">
        <v>9.0821255999999995</v>
      </c>
      <c r="C145" s="3">
        <v>22.58</v>
      </c>
    </row>
    <row r="146" spans="1:3" x14ac:dyDescent="0.45">
      <c r="A146" s="2">
        <v>28491</v>
      </c>
      <c r="B146" s="3">
        <v>8.9559387000000008</v>
      </c>
      <c r="C146" s="3">
        <v>22.75</v>
      </c>
    </row>
    <row r="147" spans="1:3" x14ac:dyDescent="0.45">
      <c r="A147" s="2">
        <v>28522</v>
      </c>
      <c r="B147" s="3">
        <v>8.4520417900000009</v>
      </c>
      <c r="C147" s="3">
        <v>22.84</v>
      </c>
    </row>
    <row r="148" spans="1:3" x14ac:dyDescent="0.45">
      <c r="A148" s="2">
        <v>28550</v>
      </c>
      <c r="B148" s="3">
        <v>8.3804143100000008</v>
      </c>
      <c r="C148" s="3">
        <v>23.02</v>
      </c>
    </row>
    <row r="149" spans="1:3" x14ac:dyDescent="0.45">
      <c r="A149" s="2">
        <v>28581</v>
      </c>
      <c r="B149" s="3">
        <v>8.7301587299999994</v>
      </c>
      <c r="C149" s="3">
        <v>23.29</v>
      </c>
    </row>
    <row r="150" spans="1:3" x14ac:dyDescent="0.45">
      <c r="A150" s="2">
        <v>28611</v>
      </c>
      <c r="B150" s="3">
        <v>7.7767612100000001</v>
      </c>
      <c r="C150" s="3">
        <v>23.56</v>
      </c>
    </row>
    <row r="151" spans="1:3" x14ac:dyDescent="0.45">
      <c r="A151" s="2">
        <v>28642</v>
      </c>
      <c r="B151" s="3">
        <v>8.4845734999999998</v>
      </c>
      <c r="C151" s="3">
        <v>23.91</v>
      </c>
    </row>
    <row r="152" spans="1:3" x14ac:dyDescent="0.45">
      <c r="A152" s="2">
        <v>28672</v>
      </c>
      <c r="B152" s="3">
        <v>8.0433800299999998</v>
      </c>
      <c r="C152" s="3">
        <v>23.91</v>
      </c>
    </row>
    <row r="153" spans="1:3" x14ac:dyDescent="0.45">
      <c r="A153" s="2">
        <v>28703</v>
      </c>
      <c r="B153" s="3">
        <v>7.1428571400000003</v>
      </c>
      <c r="C153" s="3">
        <v>24</v>
      </c>
    </row>
    <row r="154" spans="1:3" x14ac:dyDescent="0.45">
      <c r="A154" s="2">
        <v>28734</v>
      </c>
      <c r="B154" s="3">
        <v>6.6873339200000004</v>
      </c>
      <c r="C154" s="3">
        <v>24.09</v>
      </c>
    </row>
    <row r="155" spans="1:3" x14ac:dyDescent="0.45">
      <c r="A155" s="2">
        <v>28764</v>
      </c>
      <c r="B155" s="3">
        <v>7.4725274700000002</v>
      </c>
      <c r="C155" s="3">
        <v>24.45</v>
      </c>
    </row>
    <row r="156" spans="1:3" x14ac:dyDescent="0.45">
      <c r="A156" s="2">
        <v>28795</v>
      </c>
      <c r="B156" s="3">
        <v>7.89938217</v>
      </c>
      <c r="C156" s="3">
        <v>24.45</v>
      </c>
    </row>
    <row r="157" spans="1:3" x14ac:dyDescent="0.45">
      <c r="A157" s="2">
        <v>28825</v>
      </c>
      <c r="B157" s="3">
        <v>7.4844995599999997</v>
      </c>
      <c r="C157" s="3">
        <v>24.27</v>
      </c>
    </row>
    <row r="158" spans="1:3" x14ac:dyDescent="0.45">
      <c r="A158" s="2">
        <v>28856</v>
      </c>
      <c r="B158" s="3">
        <v>7.4725274700000002</v>
      </c>
      <c r="C158" s="3">
        <v>24.45</v>
      </c>
    </row>
    <row r="159" spans="1:3" x14ac:dyDescent="0.45">
      <c r="A159" s="2">
        <v>28887</v>
      </c>
      <c r="B159" s="3">
        <v>7.0490367799999998</v>
      </c>
      <c r="C159" s="3">
        <v>24.45</v>
      </c>
    </row>
    <row r="160" spans="1:3" x14ac:dyDescent="0.45">
      <c r="A160" s="2">
        <v>28915</v>
      </c>
      <c r="B160" s="3">
        <v>6.9939183299999996</v>
      </c>
      <c r="C160" s="3">
        <v>24.63</v>
      </c>
    </row>
    <row r="161" spans="1:3" x14ac:dyDescent="0.45">
      <c r="A161" s="2">
        <v>28946</v>
      </c>
      <c r="B161" s="3">
        <v>7.2563331900000003</v>
      </c>
      <c r="C161" s="3">
        <v>24.98</v>
      </c>
    </row>
    <row r="162" spans="1:3" x14ac:dyDescent="0.45">
      <c r="A162" s="2">
        <v>28976</v>
      </c>
      <c r="B162" s="3">
        <v>7.5551782699999999</v>
      </c>
      <c r="C162" s="3">
        <v>25.34</v>
      </c>
    </row>
    <row r="163" spans="1:3" x14ac:dyDescent="0.45">
      <c r="A163" s="2">
        <v>29007</v>
      </c>
      <c r="B163" s="3">
        <v>6.7335842699999997</v>
      </c>
      <c r="C163" s="3">
        <v>25.52</v>
      </c>
    </row>
    <row r="164" spans="1:3" x14ac:dyDescent="0.45">
      <c r="A164" s="2">
        <v>29037</v>
      </c>
      <c r="B164" s="3">
        <v>9.7030531199999999</v>
      </c>
      <c r="C164" s="3">
        <v>26.23</v>
      </c>
    </row>
    <row r="165" spans="1:3" x14ac:dyDescent="0.45">
      <c r="A165" s="2">
        <v>29068</v>
      </c>
      <c r="B165" s="3">
        <v>10.41666667</v>
      </c>
      <c r="C165" s="3">
        <v>26.5</v>
      </c>
    </row>
    <row r="166" spans="1:3" x14ac:dyDescent="0.45">
      <c r="A166" s="2">
        <v>29099</v>
      </c>
      <c r="B166" s="3">
        <v>12.61934413</v>
      </c>
      <c r="C166" s="3">
        <v>27.13</v>
      </c>
    </row>
    <row r="167" spans="1:3" x14ac:dyDescent="0.45">
      <c r="A167" s="2">
        <v>29129</v>
      </c>
      <c r="B167" s="3">
        <v>13.128834360000001</v>
      </c>
      <c r="C167" s="3">
        <v>27.66</v>
      </c>
    </row>
    <row r="168" spans="1:3" x14ac:dyDescent="0.45">
      <c r="A168" s="2">
        <v>29160</v>
      </c>
      <c r="B168" s="3">
        <v>13.49693252</v>
      </c>
      <c r="C168" s="3">
        <v>27.75</v>
      </c>
    </row>
    <row r="169" spans="1:3" x14ac:dyDescent="0.45">
      <c r="A169" s="2">
        <v>29190</v>
      </c>
      <c r="B169" s="3">
        <v>15.080346110000001</v>
      </c>
      <c r="C169" s="3">
        <v>27.93</v>
      </c>
    </row>
    <row r="170" spans="1:3" x14ac:dyDescent="0.45">
      <c r="A170" s="2">
        <v>29221</v>
      </c>
      <c r="B170" s="3">
        <v>17.137014310000001</v>
      </c>
      <c r="C170" s="3">
        <v>28.64</v>
      </c>
    </row>
    <row r="171" spans="1:3" x14ac:dyDescent="0.45">
      <c r="A171" s="2">
        <v>29252</v>
      </c>
      <c r="B171" s="3">
        <v>20.449897750000002</v>
      </c>
      <c r="C171" s="3">
        <v>29.45</v>
      </c>
    </row>
    <row r="172" spans="1:3" x14ac:dyDescent="0.45">
      <c r="A172" s="2">
        <v>29281</v>
      </c>
      <c r="B172" s="3">
        <v>21.721477870000001</v>
      </c>
      <c r="C172" s="3">
        <v>29.98</v>
      </c>
    </row>
    <row r="173" spans="1:3" x14ac:dyDescent="0.45">
      <c r="A173" s="2">
        <v>29312</v>
      </c>
      <c r="B173" s="3">
        <v>21.45716573</v>
      </c>
      <c r="C173" s="3">
        <v>30.34</v>
      </c>
    </row>
    <row r="174" spans="1:3" x14ac:dyDescent="0.45">
      <c r="A174" s="2">
        <v>29342</v>
      </c>
      <c r="B174" s="3">
        <v>24.30939227</v>
      </c>
      <c r="C174" s="3">
        <v>31.5</v>
      </c>
    </row>
    <row r="175" spans="1:3" x14ac:dyDescent="0.45">
      <c r="A175" s="2">
        <v>29373</v>
      </c>
      <c r="B175" s="3">
        <v>24.137931030000001</v>
      </c>
      <c r="C175" s="3">
        <v>31.68</v>
      </c>
    </row>
    <row r="176" spans="1:3" x14ac:dyDescent="0.45">
      <c r="A176" s="2">
        <v>29403</v>
      </c>
      <c r="B176" s="3">
        <v>20.09149828</v>
      </c>
      <c r="C176" s="3">
        <v>31.5</v>
      </c>
    </row>
    <row r="177" spans="1:3" x14ac:dyDescent="0.45">
      <c r="A177" s="2">
        <v>29434</v>
      </c>
      <c r="B177" s="3">
        <v>19.886792450000002</v>
      </c>
      <c r="C177" s="3">
        <v>31.77</v>
      </c>
    </row>
    <row r="178" spans="1:3" x14ac:dyDescent="0.45">
      <c r="A178" s="2">
        <v>29465</v>
      </c>
      <c r="B178" s="3">
        <v>17.434574269999999</v>
      </c>
      <c r="C178" s="3">
        <v>31.86</v>
      </c>
    </row>
    <row r="179" spans="1:3" x14ac:dyDescent="0.45">
      <c r="A179" s="2">
        <v>29495</v>
      </c>
      <c r="B179" s="3">
        <v>16.775126539999999</v>
      </c>
      <c r="C179" s="3">
        <v>32.299999999999997</v>
      </c>
    </row>
    <row r="180" spans="1:3" x14ac:dyDescent="0.45">
      <c r="A180" s="2">
        <v>29526</v>
      </c>
      <c r="B180" s="3">
        <v>18.01801802</v>
      </c>
      <c r="C180" s="3">
        <v>32.75</v>
      </c>
    </row>
    <row r="181" spans="1:3" x14ac:dyDescent="0.45">
      <c r="A181" s="2">
        <v>29556</v>
      </c>
      <c r="B181" s="3">
        <v>16.29072682</v>
      </c>
      <c r="C181" s="3">
        <v>32.479999999999997</v>
      </c>
    </row>
    <row r="182" spans="1:3" x14ac:dyDescent="0.45">
      <c r="A182" s="2">
        <v>29587</v>
      </c>
      <c r="B182" s="3">
        <v>15.886871510000001</v>
      </c>
      <c r="C182" s="3">
        <v>33.19</v>
      </c>
    </row>
    <row r="183" spans="1:3" x14ac:dyDescent="0.45">
      <c r="A183" s="2">
        <v>29618</v>
      </c>
      <c r="B183" s="3">
        <v>13.92190153</v>
      </c>
      <c r="C183" s="3">
        <v>33.549999999999997</v>
      </c>
    </row>
    <row r="184" spans="1:3" x14ac:dyDescent="0.45">
      <c r="A184" s="2">
        <v>29646</v>
      </c>
      <c r="B184" s="3">
        <v>14.87658439</v>
      </c>
      <c r="C184" s="3">
        <v>34.44</v>
      </c>
    </row>
    <row r="185" spans="1:3" x14ac:dyDescent="0.45">
      <c r="A185" s="2">
        <v>29677</v>
      </c>
      <c r="B185" s="3">
        <v>14.996704019999999</v>
      </c>
      <c r="C185" s="3">
        <v>34.89</v>
      </c>
    </row>
    <row r="186" spans="1:3" x14ac:dyDescent="0.45">
      <c r="A186" s="2">
        <v>29707</v>
      </c>
      <c r="B186" s="3">
        <v>11.33333333</v>
      </c>
      <c r="C186" s="3">
        <v>35.07</v>
      </c>
    </row>
    <row r="187" spans="1:3" x14ac:dyDescent="0.45">
      <c r="A187" s="2">
        <v>29738</v>
      </c>
      <c r="B187" s="3">
        <v>11.5530303</v>
      </c>
      <c r="C187" s="3">
        <v>35.340000000000003</v>
      </c>
    </row>
    <row r="188" spans="1:3" x14ac:dyDescent="0.45">
      <c r="A188" s="2">
        <v>29768</v>
      </c>
      <c r="B188" s="3">
        <v>12.19047619</v>
      </c>
      <c r="C188" s="3">
        <v>35.340000000000003</v>
      </c>
    </row>
    <row r="189" spans="1:3" x14ac:dyDescent="0.45">
      <c r="A189" s="2">
        <v>29799</v>
      </c>
      <c r="B189" s="3">
        <v>11.48882594</v>
      </c>
      <c r="C189" s="3">
        <v>35.42</v>
      </c>
    </row>
    <row r="190" spans="1:3" x14ac:dyDescent="0.45">
      <c r="A190" s="2">
        <v>29830</v>
      </c>
      <c r="B190" s="3">
        <v>12.30382925</v>
      </c>
      <c r="C190" s="3">
        <v>35.78</v>
      </c>
    </row>
    <row r="191" spans="1:3" x14ac:dyDescent="0.45">
      <c r="A191" s="2">
        <v>29860</v>
      </c>
      <c r="B191" s="3">
        <v>11.609907120000001</v>
      </c>
      <c r="C191" s="3">
        <v>36.049999999999997</v>
      </c>
    </row>
    <row r="192" spans="1:3" x14ac:dyDescent="0.45">
      <c r="A192" s="2">
        <v>29891</v>
      </c>
      <c r="B192" s="3">
        <v>10.625954200000001</v>
      </c>
      <c r="C192" s="3">
        <v>36.229999999999997</v>
      </c>
    </row>
    <row r="193" spans="1:3" x14ac:dyDescent="0.45">
      <c r="A193" s="2">
        <v>29921</v>
      </c>
      <c r="B193" s="3">
        <v>12.376847290000001</v>
      </c>
      <c r="C193" s="3">
        <v>36.5</v>
      </c>
    </row>
    <row r="194" spans="1:3" x14ac:dyDescent="0.45">
      <c r="A194" s="2">
        <v>29952</v>
      </c>
      <c r="B194" s="3">
        <v>9.7017173799999998</v>
      </c>
      <c r="C194" s="3">
        <v>36.409999999999997</v>
      </c>
    </row>
    <row r="195" spans="1:3" x14ac:dyDescent="0.45">
      <c r="A195" s="2">
        <v>29983</v>
      </c>
      <c r="B195" s="3">
        <v>8.7928464999999996</v>
      </c>
      <c r="C195" s="3">
        <v>36.5</v>
      </c>
    </row>
    <row r="196" spans="1:3" x14ac:dyDescent="0.45">
      <c r="A196" s="2">
        <v>30011</v>
      </c>
      <c r="B196" s="3">
        <v>6.7363530799999998</v>
      </c>
      <c r="C196" s="3">
        <v>36.76</v>
      </c>
    </row>
    <row r="197" spans="1:3" x14ac:dyDescent="0.45">
      <c r="A197" s="2">
        <v>30042</v>
      </c>
      <c r="B197" s="3">
        <v>4.8437947799999996</v>
      </c>
      <c r="C197" s="3">
        <v>36.58</v>
      </c>
    </row>
    <row r="198" spans="1:3" x14ac:dyDescent="0.45">
      <c r="A198" s="2">
        <v>30072</v>
      </c>
      <c r="B198" s="3">
        <v>5.58882236</v>
      </c>
      <c r="C198" s="3">
        <v>37.03</v>
      </c>
    </row>
    <row r="199" spans="1:3" x14ac:dyDescent="0.45">
      <c r="A199" s="2">
        <v>30103</v>
      </c>
      <c r="B199" s="3">
        <v>4.7821165800000003</v>
      </c>
      <c r="C199" s="3">
        <v>37.03</v>
      </c>
    </row>
    <row r="200" spans="1:3" x14ac:dyDescent="0.45">
      <c r="A200" s="2">
        <v>30133</v>
      </c>
      <c r="B200" s="3">
        <v>4.52744765</v>
      </c>
      <c r="C200" s="3">
        <v>36.94</v>
      </c>
    </row>
    <row r="201" spans="1:3" x14ac:dyDescent="0.45">
      <c r="A201" s="2">
        <v>30164</v>
      </c>
      <c r="B201" s="3">
        <v>4.0372670800000003</v>
      </c>
      <c r="C201" s="3">
        <v>36.85</v>
      </c>
    </row>
    <row r="202" spans="1:3" x14ac:dyDescent="0.45">
      <c r="A202" s="2">
        <v>30195</v>
      </c>
      <c r="B202" s="3">
        <v>3.99664617</v>
      </c>
      <c r="C202" s="3">
        <v>37.21</v>
      </c>
    </row>
    <row r="203" spans="1:3" x14ac:dyDescent="0.45">
      <c r="A203" s="2">
        <v>30225</v>
      </c>
      <c r="B203" s="3">
        <v>3.71705964</v>
      </c>
      <c r="C203" s="3">
        <v>37.39</v>
      </c>
    </row>
    <row r="204" spans="1:3" x14ac:dyDescent="0.45">
      <c r="A204" s="2">
        <v>30256</v>
      </c>
      <c r="B204" s="3">
        <v>3.9470052400000002</v>
      </c>
      <c r="C204" s="3">
        <v>37.659999999999997</v>
      </c>
    </row>
    <row r="205" spans="1:3" x14ac:dyDescent="0.45">
      <c r="A205" s="2">
        <v>30286</v>
      </c>
      <c r="B205" s="3">
        <v>2.4383561600000001</v>
      </c>
      <c r="C205" s="3">
        <v>37.39</v>
      </c>
    </row>
    <row r="206" spans="1:3" x14ac:dyDescent="0.45">
      <c r="A206" s="2">
        <v>30317</v>
      </c>
      <c r="B206" s="3">
        <v>2.1971985699999999</v>
      </c>
      <c r="C206" s="3">
        <v>37.21</v>
      </c>
    </row>
    <row r="207" spans="1:3" x14ac:dyDescent="0.45">
      <c r="A207" s="2">
        <v>30348</v>
      </c>
      <c r="B207" s="3">
        <v>2.6849315100000002</v>
      </c>
      <c r="C207" s="3">
        <v>37.479999999999997</v>
      </c>
    </row>
    <row r="208" spans="1:3" x14ac:dyDescent="0.45">
      <c r="A208" s="2">
        <v>30376</v>
      </c>
      <c r="B208" s="3">
        <v>2.2034820499999999</v>
      </c>
      <c r="C208" s="3">
        <v>37.57</v>
      </c>
    </row>
    <row r="209" spans="1:3" x14ac:dyDescent="0.45">
      <c r="A209" s="2">
        <v>30407</v>
      </c>
      <c r="B209" s="3">
        <v>3.4171678499999998</v>
      </c>
      <c r="C209" s="3">
        <v>37.83</v>
      </c>
    </row>
    <row r="210" spans="1:3" x14ac:dyDescent="0.45">
      <c r="A210" s="2">
        <v>30437</v>
      </c>
      <c r="B210" s="3">
        <v>3.3756413699999999</v>
      </c>
      <c r="C210" s="3">
        <v>38.28</v>
      </c>
    </row>
    <row r="211" spans="1:3" x14ac:dyDescent="0.45">
      <c r="A211" s="2">
        <v>30468</v>
      </c>
      <c r="B211" s="3">
        <v>4.1047799100000004</v>
      </c>
      <c r="C211" s="3">
        <v>38.549999999999997</v>
      </c>
    </row>
    <row r="212" spans="1:3" x14ac:dyDescent="0.45">
      <c r="A212" s="2">
        <v>30498</v>
      </c>
      <c r="B212" s="3">
        <v>4.3584190600000001</v>
      </c>
      <c r="C212" s="3">
        <v>38.549999999999997</v>
      </c>
    </row>
    <row r="213" spans="1:3" x14ac:dyDescent="0.45">
      <c r="A213" s="2">
        <v>30529</v>
      </c>
      <c r="B213" s="3">
        <v>5.5630936200000001</v>
      </c>
      <c r="C213" s="3">
        <v>38.9</v>
      </c>
    </row>
    <row r="214" spans="1:3" x14ac:dyDescent="0.45">
      <c r="A214" s="2">
        <v>30560</v>
      </c>
      <c r="B214" s="3">
        <v>5.0255307699999996</v>
      </c>
      <c r="C214" s="3">
        <v>39.08</v>
      </c>
    </row>
    <row r="215" spans="1:3" x14ac:dyDescent="0.45">
      <c r="A215" s="2">
        <v>30590</v>
      </c>
      <c r="B215" s="3">
        <v>4.51992511</v>
      </c>
      <c r="C215" s="3">
        <v>39.08</v>
      </c>
    </row>
    <row r="216" spans="1:3" x14ac:dyDescent="0.45">
      <c r="A216" s="2">
        <v>30621</v>
      </c>
      <c r="B216" s="3">
        <v>4.0095592099999999</v>
      </c>
      <c r="C216" s="3">
        <v>39.17</v>
      </c>
    </row>
    <row r="217" spans="1:3" x14ac:dyDescent="0.45">
      <c r="A217" s="2">
        <v>30651</v>
      </c>
      <c r="B217" s="3">
        <v>4.0385129700000002</v>
      </c>
      <c r="C217" s="3">
        <v>38.9</v>
      </c>
    </row>
    <row r="218" spans="1:3" x14ac:dyDescent="0.45">
      <c r="A218" s="2">
        <v>30682</v>
      </c>
      <c r="B218" s="3">
        <v>3.8430529400000002</v>
      </c>
      <c r="C218" s="3">
        <v>38.64</v>
      </c>
    </row>
    <row r="219" spans="1:3" x14ac:dyDescent="0.45">
      <c r="A219" s="2">
        <v>30713</v>
      </c>
      <c r="B219" s="3">
        <v>3.0949839899999998</v>
      </c>
      <c r="C219" s="3">
        <v>38.64</v>
      </c>
    </row>
    <row r="220" spans="1:3" x14ac:dyDescent="0.45">
      <c r="A220" s="2">
        <v>30742</v>
      </c>
      <c r="B220" s="3">
        <v>2.8480170299999998</v>
      </c>
      <c r="C220" s="3">
        <v>38.64</v>
      </c>
    </row>
    <row r="221" spans="1:3" x14ac:dyDescent="0.45">
      <c r="A221" s="2">
        <v>30773</v>
      </c>
      <c r="B221" s="3">
        <v>2.6169706599999998</v>
      </c>
      <c r="C221" s="3">
        <v>38.82</v>
      </c>
    </row>
    <row r="222" spans="1:3" x14ac:dyDescent="0.45">
      <c r="A222" s="2">
        <v>30803</v>
      </c>
      <c r="B222" s="3">
        <v>1.85475444</v>
      </c>
      <c r="C222" s="3">
        <v>38.99</v>
      </c>
    </row>
    <row r="223" spans="1:3" x14ac:dyDescent="0.45">
      <c r="A223" s="2">
        <v>30834</v>
      </c>
      <c r="B223" s="3">
        <v>0.46692607000000003</v>
      </c>
      <c r="C223" s="3">
        <v>38.729999999999997</v>
      </c>
    </row>
    <row r="224" spans="1:3" x14ac:dyDescent="0.45">
      <c r="A224" s="2">
        <v>30864</v>
      </c>
      <c r="B224" s="3">
        <v>0.23346304000000001</v>
      </c>
      <c r="C224" s="3">
        <v>38.64</v>
      </c>
    </row>
    <row r="225" spans="1:3" x14ac:dyDescent="0.45">
      <c r="A225" s="2">
        <v>30895</v>
      </c>
      <c r="B225" s="3">
        <v>-0.43701799000000002</v>
      </c>
      <c r="C225" s="3">
        <v>38.729999999999997</v>
      </c>
    </row>
    <row r="226" spans="1:3" x14ac:dyDescent="0.45">
      <c r="A226" s="2">
        <v>30926</v>
      </c>
      <c r="B226" s="3">
        <v>-0.89559876999999999</v>
      </c>
      <c r="C226" s="3">
        <v>38.729999999999997</v>
      </c>
    </row>
    <row r="227" spans="1:3" x14ac:dyDescent="0.45">
      <c r="A227" s="2">
        <v>30956</v>
      </c>
      <c r="B227" s="3">
        <v>-0.46059365000000002</v>
      </c>
      <c r="C227" s="3">
        <v>38.9</v>
      </c>
    </row>
    <row r="228" spans="1:3" x14ac:dyDescent="0.45">
      <c r="A228" s="2">
        <v>30987</v>
      </c>
      <c r="B228" s="3">
        <v>-1.3530763299999999</v>
      </c>
      <c r="C228" s="3">
        <v>38.64</v>
      </c>
    </row>
    <row r="229" spans="1:3" x14ac:dyDescent="0.45">
      <c r="A229" s="2">
        <v>31017</v>
      </c>
      <c r="B229" s="3">
        <v>-0.66838045999999995</v>
      </c>
      <c r="C229" s="3">
        <v>38.64</v>
      </c>
    </row>
    <row r="230" spans="1:3" x14ac:dyDescent="0.45">
      <c r="A230" s="2">
        <v>31048</v>
      </c>
      <c r="B230" s="3">
        <v>0.46583850999999998</v>
      </c>
      <c r="C230" s="3">
        <v>38.82</v>
      </c>
    </row>
    <row r="231" spans="1:3" x14ac:dyDescent="0.45">
      <c r="A231" s="2">
        <v>31079</v>
      </c>
      <c r="B231" s="3">
        <v>1.37163561</v>
      </c>
      <c r="C231" s="3">
        <v>39.17</v>
      </c>
    </row>
    <row r="232" spans="1:3" x14ac:dyDescent="0.45">
      <c r="A232" s="2">
        <v>31107</v>
      </c>
      <c r="B232" s="3">
        <v>1.6045548700000001</v>
      </c>
      <c r="C232" s="3">
        <v>39.26</v>
      </c>
    </row>
    <row r="233" spans="1:3" x14ac:dyDescent="0.45">
      <c r="A233" s="2">
        <v>31138</v>
      </c>
      <c r="B233" s="3">
        <v>1.36527563</v>
      </c>
      <c r="C233" s="3">
        <v>39.35</v>
      </c>
    </row>
    <row r="234" spans="1:3" x14ac:dyDescent="0.45">
      <c r="A234" s="2">
        <v>31168</v>
      </c>
      <c r="B234" s="3">
        <v>1.61579892</v>
      </c>
      <c r="C234" s="3">
        <v>39.619999999999997</v>
      </c>
    </row>
    <row r="235" spans="1:3" x14ac:dyDescent="0.45">
      <c r="A235" s="2">
        <v>31199</v>
      </c>
      <c r="B235" s="3">
        <v>2.2979602400000001</v>
      </c>
      <c r="C235" s="3">
        <v>39.619999999999997</v>
      </c>
    </row>
    <row r="236" spans="1:3" x14ac:dyDescent="0.45">
      <c r="A236" s="2">
        <v>31229</v>
      </c>
      <c r="B236" s="3">
        <v>2.5362318799999999</v>
      </c>
      <c r="C236" s="3">
        <v>39.619999999999997</v>
      </c>
    </row>
    <row r="237" spans="1:3" x14ac:dyDescent="0.45">
      <c r="A237" s="2">
        <v>31260</v>
      </c>
      <c r="B237" s="3">
        <v>2.76271624</v>
      </c>
      <c r="C237" s="3">
        <v>39.799999999999997</v>
      </c>
    </row>
    <row r="238" spans="1:3" x14ac:dyDescent="0.45">
      <c r="A238" s="2">
        <v>31291</v>
      </c>
      <c r="B238" s="3">
        <v>3.22747224</v>
      </c>
      <c r="C238" s="3">
        <v>39.979999999999997</v>
      </c>
    </row>
    <row r="239" spans="1:3" x14ac:dyDescent="0.45">
      <c r="A239" s="2">
        <v>31321</v>
      </c>
      <c r="B239" s="3">
        <v>3.2133676100000002</v>
      </c>
      <c r="C239" s="3">
        <v>40.15</v>
      </c>
    </row>
    <row r="240" spans="1:3" x14ac:dyDescent="0.45">
      <c r="A240" s="2">
        <v>31352</v>
      </c>
      <c r="B240" s="3">
        <v>3.67494824</v>
      </c>
      <c r="C240" s="3">
        <v>40.06</v>
      </c>
    </row>
    <row r="241" spans="1:3" x14ac:dyDescent="0.45">
      <c r="A241" s="2">
        <v>31382</v>
      </c>
      <c r="B241" s="3">
        <v>3.4679088999999998</v>
      </c>
      <c r="C241" s="3">
        <v>39.979999999999997</v>
      </c>
    </row>
    <row r="242" spans="1:3" x14ac:dyDescent="0.45">
      <c r="A242" s="2">
        <v>31413</v>
      </c>
      <c r="B242" s="3">
        <v>2.75631118</v>
      </c>
      <c r="C242" s="3">
        <v>39.89</v>
      </c>
    </row>
    <row r="243" spans="1:3" x14ac:dyDescent="0.45">
      <c r="A243" s="2">
        <v>31444</v>
      </c>
      <c r="B243" s="3">
        <v>1.8381414300000001</v>
      </c>
      <c r="C243" s="3">
        <v>39.89</v>
      </c>
    </row>
    <row r="244" spans="1:3" x14ac:dyDescent="0.45">
      <c r="A244" s="2">
        <v>31472</v>
      </c>
      <c r="B244" s="3">
        <v>2.2669383600000002</v>
      </c>
      <c r="C244" s="3">
        <v>40.15</v>
      </c>
    </row>
    <row r="245" spans="1:3" x14ac:dyDescent="0.45">
      <c r="A245" s="2">
        <v>31503</v>
      </c>
      <c r="B245" s="3">
        <v>2.0330368499999998</v>
      </c>
      <c r="C245" s="3">
        <v>40.15</v>
      </c>
    </row>
    <row r="246" spans="1:3" x14ac:dyDescent="0.45">
      <c r="A246" s="2">
        <v>31533</v>
      </c>
      <c r="B246" s="3">
        <v>1.79202423</v>
      </c>
      <c r="C246" s="3">
        <v>40.33</v>
      </c>
    </row>
    <row r="247" spans="1:3" x14ac:dyDescent="0.45">
      <c r="A247" s="2">
        <v>31564</v>
      </c>
      <c r="B247" s="3">
        <v>1.79202423</v>
      </c>
      <c r="C247" s="3">
        <v>40.33</v>
      </c>
    </row>
    <row r="248" spans="1:3" x14ac:dyDescent="0.45">
      <c r="A248" s="2">
        <v>31594</v>
      </c>
      <c r="B248" s="3">
        <v>1.79202423</v>
      </c>
      <c r="C248" s="3">
        <v>40.33</v>
      </c>
    </row>
    <row r="249" spans="1:3" x14ac:dyDescent="0.45">
      <c r="A249" s="2">
        <v>31625</v>
      </c>
      <c r="B249" s="3">
        <v>1.7839195999999999</v>
      </c>
      <c r="C249" s="3">
        <v>40.51</v>
      </c>
    </row>
    <row r="250" spans="1:3" x14ac:dyDescent="0.45">
      <c r="A250" s="2">
        <v>31656</v>
      </c>
      <c r="B250" s="3">
        <v>1.7758879400000001</v>
      </c>
      <c r="C250" s="3">
        <v>40.69</v>
      </c>
    </row>
    <row r="251" spans="1:3" x14ac:dyDescent="0.45">
      <c r="A251" s="2">
        <v>31686</v>
      </c>
      <c r="B251" s="3">
        <v>1.34495641</v>
      </c>
      <c r="C251" s="3">
        <v>40.69</v>
      </c>
    </row>
    <row r="252" spans="1:3" x14ac:dyDescent="0.45">
      <c r="A252" s="2">
        <v>31717</v>
      </c>
      <c r="B252" s="3">
        <v>1.5726410399999999</v>
      </c>
      <c r="C252" s="3">
        <v>40.69</v>
      </c>
    </row>
    <row r="253" spans="1:3" x14ac:dyDescent="0.45">
      <c r="A253" s="2">
        <v>31747</v>
      </c>
      <c r="B253" s="3">
        <v>1.7758879400000001</v>
      </c>
      <c r="C253" s="3">
        <v>40.69</v>
      </c>
    </row>
    <row r="254" spans="1:3" x14ac:dyDescent="0.45">
      <c r="A254" s="2">
        <v>31778</v>
      </c>
      <c r="B254" s="3">
        <v>2.0055151699999998</v>
      </c>
      <c r="C254" s="3">
        <v>40.69</v>
      </c>
    </row>
    <row r="255" spans="1:3" x14ac:dyDescent="0.45">
      <c r="A255" s="2">
        <v>31809</v>
      </c>
      <c r="B255" s="3">
        <v>2.0055151699999998</v>
      </c>
      <c r="C255" s="3">
        <v>40.69</v>
      </c>
    </row>
    <row r="256" spans="1:3" x14ac:dyDescent="0.45">
      <c r="A256" s="2">
        <v>31837</v>
      </c>
      <c r="B256" s="3">
        <v>1.34495641</v>
      </c>
      <c r="C256" s="3">
        <v>40.69</v>
      </c>
    </row>
    <row r="257" spans="1:3" x14ac:dyDescent="0.45">
      <c r="A257" s="2">
        <v>31868</v>
      </c>
      <c r="B257" s="3">
        <v>1.7932752199999999</v>
      </c>
      <c r="C257" s="3">
        <v>40.869999999999997</v>
      </c>
    </row>
    <row r="258" spans="1:3" x14ac:dyDescent="0.45">
      <c r="A258" s="2">
        <v>31898</v>
      </c>
      <c r="B258" s="3">
        <v>2.0084304500000001</v>
      </c>
      <c r="C258" s="3">
        <v>41.14</v>
      </c>
    </row>
    <row r="259" spans="1:3" x14ac:dyDescent="0.45">
      <c r="A259" s="2">
        <v>31929</v>
      </c>
      <c r="B259" s="3">
        <v>2.42995289</v>
      </c>
      <c r="C259" s="3">
        <v>41.31</v>
      </c>
    </row>
    <row r="260" spans="1:3" x14ac:dyDescent="0.45">
      <c r="A260" s="2">
        <v>31959</v>
      </c>
      <c r="B260" s="3">
        <v>2.42995289</v>
      </c>
      <c r="C260" s="3">
        <v>41.31</v>
      </c>
    </row>
    <row r="261" spans="1:3" x14ac:dyDescent="0.45">
      <c r="A261" s="2">
        <v>31990</v>
      </c>
      <c r="B261" s="3">
        <v>2.8634905000000002</v>
      </c>
      <c r="C261" s="3">
        <v>41.67</v>
      </c>
    </row>
    <row r="262" spans="1:3" x14ac:dyDescent="0.45">
      <c r="A262" s="2">
        <v>32021</v>
      </c>
      <c r="B262" s="3">
        <v>2.6296387299999999</v>
      </c>
      <c r="C262" s="3">
        <v>41.76</v>
      </c>
    </row>
    <row r="263" spans="1:3" x14ac:dyDescent="0.45">
      <c r="A263" s="2">
        <v>32051</v>
      </c>
      <c r="B263" s="3">
        <v>2.6296387299999999</v>
      </c>
      <c r="C263" s="3">
        <v>41.76</v>
      </c>
    </row>
    <row r="264" spans="1:3" x14ac:dyDescent="0.45">
      <c r="A264" s="2">
        <v>32082</v>
      </c>
      <c r="B264" s="3">
        <v>3.5143770000000001</v>
      </c>
      <c r="C264" s="3">
        <v>42.12</v>
      </c>
    </row>
    <row r="265" spans="1:3" x14ac:dyDescent="0.45">
      <c r="A265" s="2">
        <v>32112</v>
      </c>
      <c r="B265" s="3">
        <v>3.7355615599999998</v>
      </c>
      <c r="C265" s="3">
        <v>42.21</v>
      </c>
    </row>
    <row r="266" spans="1:3" x14ac:dyDescent="0.45">
      <c r="A266" s="2">
        <v>32143</v>
      </c>
      <c r="B266" s="3">
        <v>3.2931924299999999</v>
      </c>
      <c r="C266" s="3">
        <v>42.03</v>
      </c>
    </row>
    <row r="267" spans="1:3" x14ac:dyDescent="0.45">
      <c r="A267" s="2">
        <v>32174</v>
      </c>
      <c r="B267" s="3">
        <v>4.1533546299999999</v>
      </c>
      <c r="C267" s="3">
        <v>42.38</v>
      </c>
    </row>
    <row r="268" spans="1:3" x14ac:dyDescent="0.45">
      <c r="A268" s="2">
        <v>32203</v>
      </c>
      <c r="B268" s="3">
        <v>4.5957237700000002</v>
      </c>
      <c r="C268" s="3">
        <v>42.56</v>
      </c>
    </row>
    <row r="269" spans="1:3" x14ac:dyDescent="0.45">
      <c r="A269" s="2">
        <v>32234</v>
      </c>
      <c r="B269" s="3">
        <v>4.5754832399999996</v>
      </c>
      <c r="C269" s="3">
        <v>42.74</v>
      </c>
    </row>
    <row r="270" spans="1:3" x14ac:dyDescent="0.45">
      <c r="A270" s="2">
        <v>32264</v>
      </c>
      <c r="B270" s="3">
        <v>4.1079241599999996</v>
      </c>
      <c r="C270" s="3">
        <v>42.83</v>
      </c>
    </row>
    <row r="271" spans="1:3" x14ac:dyDescent="0.45">
      <c r="A271" s="2">
        <v>32295</v>
      </c>
      <c r="B271" s="3">
        <v>3.67949649</v>
      </c>
      <c r="C271" s="3">
        <v>42.83</v>
      </c>
    </row>
    <row r="272" spans="1:3" x14ac:dyDescent="0.45">
      <c r="A272" s="2">
        <v>32325</v>
      </c>
      <c r="B272" s="3">
        <v>3.67949649</v>
      </c>
      <c r="C272" s="3">
        <v>42.83</v>
      </c>
    </row>
    <row r="273" spans="1:3" x14ac:dyDescent="0.45">
      <c r="A273" s="2">
        <v>32356</v>
      </c>
      <c r="B273" s="3">
        <v>3.21574274</v>
      </c>
      <c r="C273" s="3">
        <v>43.01</v>
      </c>
    </row>
    <row r="274" spans="1:3" x14ac:dyDescent="0.45">
      <c r="A274" s="2">
        <v>32387</v>
      </c>
      <c r="B274" s="3">
        <v>4.0469348700000003</v>
      </c>
      <c r="C274" s="3">
        <v>43.45</v>
      </c>
    </row>
    <row r="275" spans="1:3" x14ac:dyDescent="0.45">
      <c r="A275" s="2">
        <v>32417</v>
      </c>
      <c r="B275" s="3">
        <v>4.69348659</v>
      </c>
      <c r="C275" s="3">
        <v>43.72</v>
      </c>
    </row>
    <row r="276" spans="1:3" x14ac:dyDescent="0.45">
      <c r="A276" s="2">
        <v>32448</v>
      </c>
      <c r="B276" s="3">
        <v>3.3713200400000001</v>
      </c>
      <c r="C276" s="3">
        <v>43.54</v>
      </c>
    </row>
    <row r="277" spans="1:3" x14ac:dyDescent="0.45">
      <c r="A277" s="2">
        <v>32478</v>
      </c>
      <c r="B277" s="3">
        <v>2.9376924899999999</v>
      </c>
      <c r="C277" s="3">
        <v>43.45</v>
      </c>
    </row>
    <row r="278" spans="1:3" x14ac:dyDescent="0.45">
      <c r="A278" s="2">
        <v>32509</v>
      </c>
      <c r="B278" s="3">
        <v>4.2350701900000001</v>
      </c>
      <c r="C278" s="3">
        <v>43.81</v>
      </c>
    </row>
    <row r="279" spans="1:3" x14ac:dyDescent="0.45">
      <c r="A279" s="2">
        <v>32540</v>
      </c>
      <c r="B279" s="3">
        <v>4.6484190700000001</v>
      </c>
      <c r="C279" s="3">
        <v>44.35</v>
      </c>
    </row>
    <row r="280" spans="1:3" x14ac:dyDescent="0.45">
      <c r="A280" s="2">
        <v>32568</v>
      </c>
      <c r="B280" s="3">
        <v>4.2058270699999998</v>
      </c>
      <c r="C280" s="3">
        <v>44.35</v>
      </c>
    </row>
    <row r="281" spans="1:3" x14ac:dyDescent="0.45">
      <c r="A281" s="2">
        <v>32599</v>
      </c>
      <c r="B281" s="3">
        <v>3.7669630299999999</v>
      </c>
      <c r="C281" s="3">
        <v>44.35</v>
      </c>
    </row>
    <row r="282" spans="1:3" x14ac:dyDescent="0.45">
      <c r="A282" s="2">
        <v>32629</v>
      </c>
      <c r="B282" s="3">
        <v>4.3660985300000004</v>
      </c>
      <c r="C282" s="3">
        <v>44.7</v>
      </c>
    </row>
    <row r="283" spans="1:3" x14ac:dyDescent="0.45">
      <c r="A283" s="2">
        <v>32660</v>
      </c>
      <c r="B283" s="3">
        <v>4.7863647</v>
      </c>
      <c r="C283" s="3">
        <v>44.88</v>
      </c>
    </row>
    <row r="284" spans="1:3" x14ac:dyDescent="0.45">
      <c r="A284" s="2">
        <v>32690</v>
      </c>
      <c r="B284" s="3">
        <v>6.2572962900000002</v>
      </c>
      <c r="C284" s="3">
        <v>45.51</v>
      </c>
    </row>
    <row r="285" spans="1:3" x14ac:dyDescent="0.45">
      <c r="A285" s="2">
        <v>32721</v>
      </c>
      <c r="B285" s="3">
        <v>6.8356196200000001</v>
      </c>
      <c r="C285" s="3">
        <v>45.95</v>
      </c>
    </row>
    <row r="286" spans="1:3" x14ac:dyDescent="0.45">
      <c r="A286" s="2">
        <v>32752</v>
      </c>
      <c r="B286" s="3">
        <v>6.3751438399999998</v>
      </c>
      <c r="C286" s="3">
        <v>46.22</v>
      </c>
    </row>
    <row r="287" spans="1:3" x14ac:dyDescent="0.45">
      <c r="A287" s="2">
        <v>32782</v>
      </c>
      <c r="B287" s="3">
        <v>6.3357730999999999</v>
      </c>
      <c r="C287" s="3">
        <v>46.49</v>
      </c>
    </row>
    <row r="288" spans="1:3" x14ac:dyDescent="0.45">
      <c r="A288" s="2">
        <v>32813</v>
      </c>
      <c r="B288" s="3">
        <v>6.56867249</v>
      </c>
      <c r="C288" s="3">
        <v>46.4</v>
      </c>
    </row>
    <row r="289" spans="1:3" x14ac:dyDescent="0.45">
      <c r="A289" s="2">
        <v>32843</v>
      </c>
      <c r="B289" s="3">
        <v>6.3751438399999998</v>
      </c>
      <c r="C289" s="3">
        <v>46.22</v>
      </c>
    </row>
    <row r="290" spans="1:3" x14ac:dyDescent="0.45">
      <c r="A290" s="2">
        <v>32874</v>
      </c>
      <c r="B290" s="3">
        <v>5.9118922600000001</v>
      </c>
      <c r="C290" s="3">
        <v>46.4</v>
      </c>
    </row>
    <row r="291" spans="1:3" x14ac:dyDescent="0.45">
      <c r="A291" s="2">
        <v>32905</v>
      </c>
      <c r="B291" s="3">
        <v>5.6369785800000001</v>
      </c>
      <c r="C291" s="3">
        <v>46.85</v>
      </c>
    </row>
    <row r="292" spans="1:3" x14ac:dyDescent="0.45">
      <c r="A292" s="2">
        <v>32933</v>
      </c>
      <c r="B292" s="3">
        <v>6.0202931199999998</v>
      </c>
      <c r="C292" s="3">
        <v>47.02</v>
      </c>
    </row>
    <row r="293" spans="1:3" x14ac:dyDescent="0.45">
      <c r="A293" s="2">
        <v>32964</v>
      </c>
      <c r="B293" s="3">
        <v>6.8320180400000003</v>
      </c>
      <c r="C293" s="3">
        <v>47.38</v>
      </c>
    </row>
    <row r="294" spans="1:3" x14ac:dyDescent="0.45">
      <c r="A294" s="2">
        <v>32994</v>
      </c>
      <c r="B294" s="3">
        <v>6.5995525700000002</v>
      </c>
      <c r="C294" s="3">
        <v>47.65</v>
      </c>
    </row>
    <row r="295" spans="1:3" x14ac:dyDescent="0.45">
      <c r="A295" s="2">
        <v>33025</v>
      </c>
      <c r="B295" s="3">
        <v>6.5730837800000002</v>
      </c>
      <c r="C295" s="3">
        <v>47.83</v>
      </c>
    </row>
    <row r="296" spans="1:3" x14ac:dyDescent="0.45">
      <c r="A296" s="2">
        <v>33055</v>
      </c>
      <c r="B296" s="3">
        <v>5.2955394399999998</v>
      </c>
      <c r="C296" s="3">
        <v>47.92</v>
      </c>
    </row>
    <row r="297" spans="1:3" x14ac:dyDescent="0.45">
      <c r="A297" s="2">
        <v>33086</v>
      </c>
      <c r="B297" s="3">
        <v>4.6572361300000003</v>
      </c>
      <c r="C297" s="3">
        <v>48.09</v>
      </c>
    </row>
    <row r="298" spans="1:3" x14ac:dyDescent="0.45">
      <c r="A298" s="2">
        <v>33117</v>
      </c>
      <c r="B298" s="3">
        <v>4.4353093899999996</v>
      </c>
      <c r="C298" s="3">
        <v>48.27</v>
      </c>
    </row>
    <row r="299" spans="1:3" x14ac:dyDescent="0.45">
      <c r="A299" s="2">
        <v>33147</v>
      </c>
      <c r="B299" s="3">
        <v>5.7646805800000003</v>
      </c>
      <c r="C299" s="3">
        <v>49.17</v>
      </c>
    </row>
    <row r="300" spans="1:3" x14ac:dyDescent="0.45">
      <c r="A300" s="2">
        <v>33178</v>
      </c>
      <c r="B300" s="3">
        <v>6.5301724099999996</v>
      </c>
      <c r="C300" s="3">
        <v>49.43</v>
      </c>
    </row>
    <row r="301" spans="1:3" x14ac:dyDescent="0.45">
      <c r="A301" s="2">
        <v>33208</v>
      </c>
      <c r="B301" s="3">
        <v>6.3825183900000004</v>
      </c>
      <c r="C301" s="3">
        <v>49.17</v>
      </c>
    </row>
    <row r="302" spans="1:3" x14ac:dyDescent="0.45">
      <c r="A302" s="2">
        <v>33239</v>
      </c>
      <c r="B302" s="3">
        <v>6.1422413799999998</v>
      </c>
      <c r="C302" s="3">
        <v>49.25</v>
      </c>
    </row>
    <row r="303" spans="1:3" x14ac:dyDescent="0.45">
      <c r="A303" s="2">
        <v>33270</v>
      </c>
      <c r="B303" s="3">
        <v>5.8911419399999998</v>
      </c>
      <c r="C303" s="3">
        <v>49.61</v>
      </c>
    </row>
    <row r="304" spans="1:3" x14ac:dyDescent="0.45">
      <c r="A304" s="2">
        <v>33298</v>
      </c>
      <c r="B304" s="3">
        <v>5.50829434</v>
      </c>
      <c r="C304" s="3">
        <v>49.61</v>
      </c>
    </row>
    <row r="305" spans="1:3" x14ac:dyDescent="0.45">
      <c r="A305" s="2">
        <v>33329</v>
      </c>
      <c r="B305" s="3">
        <v>6.0363022400000004</v>
      </c>
      <c r="C305" s="3">
        <v>50.24</v>
      </c>
    </row>
    <row r="306" spans="1:3" x14ac:dyDescent="0.45">
      <c r="A306" s="2">
        <v>33359</v>
      </c>
      <c r="B306" s="3">
        <v>6.3588667399999999</v>
      </c>
      <c r="C306" s="3">
        <v>50.68</v>
      </c>
    </row>
    <row r="307" spans="1:3" x14ac:dyDescent="0.45">
      <c r="A307" s="2">
        <v>33390</v>
      </c>
      <c r="B307" s="3">
        <v>5.9586033900000004</v>
      </c>
      <c r="C307" s="3">
        <v>50.68</v>
      </c>
    </row>
    <row r="308" spans="1:3" x14ac:dyDescent="0.45">
      <c r="A308" s="2">
        <v>33420</v>
      </c>
      <c r="B308" s="3">
        <v>5.3839732900000001</v>
      </c>
      <c r="C308" s="3">
        <v>50.5</v>
      </c>
    </row>
    <row r="309" spans="1:3" x14ac:dyDescent="0.45">
      <c r="A309" s="2">
        <v>33451</v>
      </c>
      <c r="B309" s="3">
        <v>5.9471823700000002</v>
      </c>
      <c r="C309" s="3">
        <v>50.95</v>
      </c>
    </row>
    <row r="310" spans="1:3" x14ac:dyDescent="0.45">
      <c r="A310" s="2">
        <v>33482</v>
      </c>
      <c r="B310" s="3">
        <v>6.6708100300000002</v>
      </c>
      <c r="C310" s="3">
        <v>51.49</v>
      </c>
    </row>
    <row r="311" spans="1:3" x14ac:dyDescent="0.45">
      <c r="A311" s="2">
        <v>33512</v>
      </c>
      <c r="B311" s="3">
        <v>5.2471018899999997</v>
      </c>
      <c r="C311" s="3">
        <v>51.75</v>
      </c>
    </row>
    <row r="312" spans="1:3" x14ac:dyDescent="0.45">
      <c r="A312" s="2">
        <v>33543</v>
      </c>
      <c r="B312" s="3">
        <v>4.6935059700000004</v>
      </c>
      <c r="C312" s="3">
        <v>51.75</v>
      </c>
    </row>
    <row r="313" spans="1:3" x14ac:dyDescent="0.45">
      <c r="A313" s="2">
        <v>33573</v>
      </c>
      <c r="B313" s="3">
        <v>4.7183241799999998</v>
      </c>
      <c r="C313" s="3">
        <v>51.49</v>
      </c>
    </row>
    <row r="314" spans="1:3" x14ac:dyDescent="0.45">
      <c r="A314" s="2">
        <v>33604</v>
      </c>
      <c r="B314" s="3">
        <v>5.07614213</v>
      </c>
      <c r="C314" s="3">
        <v>51.75</v>
      </c>
    </row>
    <row r="315" spans="1:3" x14ac:dyDescent="0.45">
      <c r="A315" s="2">
        <v>33635</v>
      </c>
      <c r="B315" s="3">
        <v>4.4950614800000004</v>
      </c>
      <c r="C315" s="3">
        <v>51.84</v>
      </c>
    </row>
    <row r="316" spans="1:3" x14ac:dyDescent="0.45">
      <c r="A316" s="2">
        <v>33664</v>
      </c>
      <c r="B316" s="3">
        <v>4.3136464400000003</v>
      </c>
      <c r="C316" s="3">
        <v>51.75</v>
      </c>
    </row>
    <row r="317" spans="1:3" x14ac:dyDescent="0.45">
      <c r="A317" s="2">
        <v>33695</v>
      </c>
      <c r="B317" s="3">
        <v>3.3638534999999998</v>
      </c>
      <c r="C317" s="3">
        <v>51.93</v>
      </c>
    </row>
    <row r="318" spans="1:3" x14ac:dyDescent="0.45">
      <c r="A318" s="2">
        <v>33725</v>
      </c>
      <c r="B318" s="3">
        <v>4.2225730099999996</v>
      </c>
      <c r="C318" s="3">
        <v>52.82</v>
      </c>
    </row>
    <row r="319" spans="1:3" x14ac:dyDescent="0.45">
      <c r="A319" s="2">
        <v>33756</v>
      </c>
      <c r="B319" s="3">
        <v>4.5777426999999999</v>
      </c>
      <c r="C319" s="3">
        <v>53</v>
      </c>
    </row>
    <row r="320" spans="1:3" x14ac:dyDescent="0.45">
      <c r="A320" s="2">
        <v>33786</v>
      </c>
      <c r="B320" s="3">
        <v>5.1287128700000002</v>
      </c>
      <c r="C320" s="3">
        <v>53.09</v>
      </c>
    </row>
    <row r="321" spans="1:3" x14ac:dyDescent="0.45">
      <c r="A321" s="2">
        <v>33817</v>
      </c>
      <c r="B321" s="3">
        <v>5.0834151099999998</v>
      </c>
      <c r="C321" s="3">
        <v>53.54</v>
      </c>
    </row>
    <row r="322" spans="1:3" x14ac:dyDescent="0.45">
      <c r="A322" s="2">
        <v>33848</v>
      </c>
      <c r="B322" s="3">
        <v>3.9813556000000001</v>
      </c>
      <c r="C322" s="3">
        <v>53.54</v>
      </c>
    </row>
    <row r="323" spans="1:3" x14ac:dyDescent="0.45">
      <c r="A323" s="2">
        <v>33878</v>
      </c>
      <c r="B323" s="3">
        <v>3.4589371999999998</v>
      </c>
      <c r="C323" s="3">
        <v>53.54</v>
      </c>
    </row>
    <row r="324" spans="1:3" x14ac:dyDescent="0.45">
      <c r="A324" s="2">
        <v>33909</v>
      </c>
      <c r="B324" s="3">
        <v>2.93719807</v>
      </c>
      <c r="C324" s="3">
        <v>53.27</v>
      </c>
    </row>
    <row r="325" spans="1:3" x14ac:dyDescent="0.45">
      <c r="A325" s="2">
        <v>33939</v>
      </c>
      <c r="B325" s="3">
        <v>3.1073995000000001</v>
      </c>
      <c r="C325" s="3">
        <v>53.09</v>
      </c>
    </row>
    <row r="326" spans="1:3" x14ac:dyDescent="0.45">
      <c r="A326" s="2">
        <v>33970</v>
      </c>
      <c r="B326" s="3">
        <v>2.93719807</v>
      </c>
      <c r="C326" s="3">
        <v>53.27</v>
      </c>
    </row>
    <row r="327" spans="1:3" x14ac:dyDescent="0.45">
      <c r="A327" s="2">
        <v>34001</v>
      </c>
      <c r="B327" s="3">
        <v>3.27932099</v>
      </c>
      <c r="C327" s="3">
        <v>53.54</v>
      </c>
    </row>
    <row r="328" spans="1:3" x14ac:dyDescent="0.45">
      <c r="A328" s="2">
        <v>34029</v>
      </c>
      <c r="B328" s="3">
        <v>3.4589371999999998</v>
      </c>
      <c r="C328" s="3">
        <v>53.54</v>
      </c>
    </row>
    <row r="329" spans="1:3" x14ac:dyDescent="0.45">
      <c r="A329" s="2">
        <v>34060</v>
      </c>
      <c r="B329" s="3">
        <v>4.1209320199999997</v>
      </c>
      <c r="C329" s="3">
        <v>54.07</v>
      </c>
    </row>
    <row r="330" spans="1:3" x14ac:dyDescent="0.45">
      <c r="A330" s="2">
        <v>34090</v>
      </c>
      <c r="B330" s="3">
        <v>2.5369178300000002</v>
      </c>
      <c r="C330" s="3">
        <v>54.16</v>
      </c>
    </row>
    <row r="331" spans="1:3" x14ac:dyDescent="0.45">
      <c r="A331" s="2">
        <v>34121</v>
      </c>
      <c r="B331" s="3">
        <v>2.5283018899999998</v>
      </c>
      <c r="C331" s="3">
        <v>54.34</v>
      </c>
    </row>
    <row r="332" spans="1:3" x14ac:dyDescent="0.45">
      <c r="A332" s="2">
        <v>34151</v>
      </c>
      <c r="B332" s="3">
        <v>3.2021096299999998</v>
      </c>
      <c r="C332" s="3">
        <v>54.79</v>
      </c>
    </row>
    <row r="333" spans="1:3" x14ac:dyDescent="0.45">
      <c r="A333" s="2">
        <v>34182</v>
      </c>
      <c r="B333" s="3">
        <v>2.5028016399999999</v>
      </c>
      <c r="C333" s="3">
        <v>54.88</v>
      </c>
    </row>
    <row r="334" spans="1:3" x14ac:dyDescent="0.45">
      <c r="A334" s="2">
        <v>34213</v>
      </c>
      <c r="B334" s="3">
        <v>3.49271573</v>
      </c>
      <c r="C334" s="3">
        <v>55.41</v>
      </c>
    </row>
    <row r="335" spans="1:3" x14ac:dyDescent="0.45">
      <c r="A335" s="2">
        <v>34243</v>
      </c>
      <c r="B335" s="3">
        <v>3.49271573</v>
      </c>
      <c r="C335" s="3">
        <v>55.41</v>
      </c>
    </row>
    <row r="336" spans="1:3" x14ac:dyDescent="0.45">
      <c r="A336" s="2">
        <v>34274</v>
      </c>
      <c r="B336" s="3">
        <v>3.6793692500000001</v>
      </c>
      <c r="C336" s="3">
        <v>55.23</v>
      </c>
    </row>
    <row r="337" spans="1:3" x14ac:dyDescent="0.45">
      <c r="A337" s="2">
        <v>34304</v>
      </c>
      <c r="B337" s="3">
        <v>4.3699378400000004</v>
      </c>
      <c r="C337" s="3">
        <v>55.41</v>
      </c>
    </row>
    <row r="338" spans="1:3" x14ac:dyDescent="0.45">
      <c r="A338" s="2">
        <v>34335</v>
      </c>
      <c r="B338" s="3">
        <v>4.6930730199999999</v>
      </c>
      <c r="C338" s="3">
        <v>55.77</v>
      </c>
    </row>
    <row r="339" spans="1:3" x14ac:dyDescent="0.45">
      <c r="A339" s="2">
        <v>34366</v>
      </c>
      <c r="B339" s="3">
        <v>4.5013074299999998</v>
      </c>
      <c r="C339" s="3">
        <v>55.95</v>
      </c>
    </row>
    <row r="340" spans="1:3" x14ac:dyDescent="0.45">
      <c r="A340" s="2">
        <v>34394</v>
      </c>
      <c r="B340" s="3">
        <v>5.1550242800000001</v>
      </c>
      <c r="C340" s="3">
        <v>56.3</v>
      </c>
    </row>
    <row r="341" spans="1:3" x14ac:dyDescent="0.45">
      <c r="A341" s="2">
        <v>34425</v>
      </c>
      <c r="B341" s="3">
        <v>4.4571851300000001</v>
      </c>
      <c r="C341" s="3">
        <v>56.48</v>
      </c>
    </row>
    <row r="342" spans="1:3" x14ac:dyDescent="0.45">
      <c r="A342" s="2">
        <v>34455</v>
      </c>
      <c r="B342" s="3">
        <v>5.28064993</v>
      </c>
      <c r="C342" s="3">
        <v>57.02</v>
      </c>
    </row>
    <row r="343" spans="1:3" x14ac:dyDescent="0.45">
      <c r="A343" s="2">
        <v>34486</v>
      </c>
      <c r="B343" s="3">
        <v>5.5760029400000004</v>
      </c>
      <c r="C343" s="3">
        <v>57.37</v>
      </c>
    </row>
    <row r="344" spans="1:3" x14ac:dyDescent="0.45">
      <c r="A344" s="2">
        <v>34516</v>
      </c>
      <c r="B344" s="3">
        <v>4.8731520399999999</v>
      </c>
      <c r="C344" s="3">
        <v>57.46</v>
      </c>
    </row>
    <row r="345" spans="1:3" x14ac:dyDescent="0.45">
      <c r="A345" s="2">
        <v>34547</v>
      </c>
      <c r="B345" s="3">
        <v>5.1931486900000001</v>
      </c>
      <c r="C345" s="3">
        <v>57.73</v>
      </c>
    </row>
    <row r="346" spans="1:3" x14ac:dyDescent="0.45">
      <c r="A346" s="2">
        <v>34578</v>
      </c>
      <c r="B346" s="3">
        <v>5.3239487499999996</v>
      </c>
      <c r="C346" s="3">
        <v>58.36</v>
      </c>
    </row>
    <row r="347" spans="1:3" x14ac:dyDescent="0.45">
      <c r="A347" s="2">
        <v>34608</v>
      </c>
      <c r="B347" s="3">
        <v>5.6307525700000003</v>
      </c>
      <c r="C347" s="3">
        <v>58.53</v>
      </c>
    </row>
    <row r="348" spans="1:3" x14ac:dyDescent="0.45">
      <c r="A348" s="2">
        <v>34639</v>
      </c>
      <c r="B348" s="3">
        <v>5.3413000200000003</v>
      </c>
      <c r="C348" s="3">
        <v>58.18</v>
      </c>
    </row>
    <row r="349" spans="1:3" x14ac:dyDescent="0.45">
      <c r="A349" s="2">
        <v>34669</v>
      </c>
      <c r="B349" s="3">
        <v>4.6742465299999996</v>
      </c>
      <c r="C349" s="3">
        <v>58</v>
      </c>
    </row>
    <row r="350" spans="1:3" x14ac:dyDescent="0.45">
      <c r="A350" s="2">
        <v>34700</v>
      </c>
      <c r="B350" s="3">
        <v>4.9488972599999999</v>
      </c>
      <c r="C350" s="3">
        <v>58.53</v>
      </c>
    </row>
    <row r="351" spans="1:3" x14ac:dyDescent="0.45">
      <c r="A351" s="2">
        <v>34731</v>
      </c>
      <c r="B351" s="3">
        <v>4.9329758699999999</v>
      </c>
      <c r="C351" s="3">
        <v>58.71</v>
      </c>
    </row>
    <row r="352" spans="1:3" x14ac:dyDescent="0.45">
      <c r="A352" s="2">
        <v>34759</v>
      </c>
      <c r="B352" s="3">
        <v>4.7602131400000003</v>
      </c>
      <c r="C352" s="3">
        <v>58.98</v>
      </c>
    </row>
    <row r="353" spans="1:3" x14ac:dyDescent="0.45">
      <c r="A353" s="2">
        <v>34790</v>
      </c>
      <c r="B353" s="3">
        <v>5.2230878199999999</v>
      </c>
      <c r="C353" s="3">
        <v>59.43</v>
      </c>
    </row>
    <row r="354" spans="1:3" x14ac:dyDescent="0.45">
      <c r="A354" s="2">
        <v>34820</v>
      </c>
      <c r="B354" s="3">
        <v>5.4717642900000003</v>
      </c>
      <c r="C354" s="3">
        <v>60.14</v>
      </c>
    </row>
    <row r="355" spans="1:3" x14ac:dyDescent="0.45">
      <c r="A355" s="2">
        <v>34851</v>
      </c>
      <c r="B355" s="3">
        <v>5.4558131400000001</v>
      </c>
      <c r="C355" s="3">
        <v>60.5</v>
      </c>
    </row>
    <row r="356" spans="1:3" x14ac:dyDescent="0.45">
      <c r="A356" s="2">
        <v>34881</v>
      </c>
      <c r="B356" s="3">
        <v>5.6038983599999996</v>
      </c>
      <c r="C356" s="3">
        <v>60.68</v>
      </c>
    </row>
    <row r="357" spans="1:3" x14ac:dyDescent="0.45">
      <c r="A357" s="2">
        <v>34912</v>
      </c>
      <c r="B357" s="3">
        <v>6.0280616699999996</v>
      </c>
      <c r="C357" s="3">
        <v>61.21</v>
      </c>
    </row>
    <row r="358" spans="1:3" x14ac:dyDescent="0.45">
      <c r="A358" s="2">
        <v>34943</v>
      </c>
      <c r="B358" s="3">
        <v>5.9629883499999998</v>
      </c>
      <c r="C358" s="3">
        <v>61.84</v>
      </c>
    </row>
    <row r="359" spans="1:3" x14ac:dyDescent="0.45">
      <c r="A359" s="2">
        <v>34973</v>
      </c>
      <c r="B359" s="3">
        <v>6.5607380800000001</v>
      </c>
      <c r="C359" s="3">
        <v>62.37</v>
      </c>
    </row>
    <row r="360" spans="1:3" x14ac:dyDescent="0.45">
      <c r="A360" s="2">
        <v>35004</v>
      </c>
      <c r="B360" s="3">
        <v>7.2017875599999996</v>
      </c>
      <c r="C360" s="3">
        <v>62.37</v>
      </c>
    </row>
    <row r="361" spans="1:3" x14ac:dyDescent="0.45">
      <c r="A361" s="2">
        <v>35034</v>
      </c>
      <c r="B361" s="3">
        <v>7.5344827600000004</v>
      </c>
      <c r="C361" s="3">
        <v>62.37</v>
      </c>
    </row>
    <row r="362" spans="1:3" x14ac:dyDescent="0.45">
      <c r="A362" s="2">
        <v>35065</v>
      </c>
      <c r="B362" s="3">
        <v>7.1758072799999999</v>
      </c>
      <c r="C362" s="3">
        <v>62.73</v>
      </c>
    </row>
    <row r="363" spans="1:3" x14ac:dyDescent="0.45">
      <c r="A363" s="2">
        <v>35096</v>
      </c>
      <c r="B363" s="3">
        <v>7.4603985699999997</v>
      </c>
      <c r="C363" s="3">
        <v>63.09</v>
      </c>
    </row>
    <row r="364" spans="1:3" x14ac:dyDescent="0.45">
      <c r="A364" s="2">
        <v>35125</v>
      </c>
      <c r="B364" s="3">
        <v>7.2566971899999997</v>
      </c>
      <c r="C364" s="3">
        <v>63.26</v>
      </c>
    </row>
    <row r="365" spans="1:3" x14ac:dyDescent="0.45">
      <c r="A365" s="2">
        <v>35156</v>
      </c>
      <c r="B365" s="3">
        <v>7.0503112899999998</v>
      </c>
      <c r="C365" s="3">
        <v>63.62</v>
      </c>
    </row>
    <row r="366" spans="1:3" x14ac:dyDescent="0.45">
      <c r="A366" s="2">
        <v>35186</v>
      </c>
      <c r="B366" s="3">
        <v>6.0857998000000002</v>
      </c>
      <c r="C366" s="3">
        <v>63.8</v>
      </c>
    </row>
    <row r="367" spans="1:3" x14ac:dyDescent="0.45">
      <c r="A367" s="2">
        <v>35217</v>
      </c>
      <c r="B367" s="3">
        <v>5.4545454500000004</v>
      </c>
      <c r="C367" s="3">
        <v>63.8</v>
      </c>
    </row>
    <row r="368" spans="1:3" x14ac:dyDescent="0.45">
      <c r="A368" s="2">
        <v>35247</v>
      </c>
      <c r="B368" s="3">
        <v>5.4383651899999998</v>
      </c>
      <c r="C368" s="3">
        <v>63.98</v>
      </c>
    </row>
    <row r="369" spans="1:3" x14ac:dyDescent="0.45">
      <c r="A369" s="2">
        <v>35278</v>
      </c>
      <c r="B369" s="3">
        <v>5.5383107300000001</v>
      </c>
      <c r="C369" s="3">
        <v>64.599999999999994</v>
      </c>
    </row>
    <row r="370" spans="1:3" x14ac:dyDescent="0.45">
      <c r="A370" s="2">
        <v>35309</v>
      </c>
      <c r="B370" s="3">
        <v>4.60866753</v>
      </c>
      <c r="C370" s="3">
        <v>64.69</v>
      </c>
    </row>
    <row r="371" spans="1:3" x14ac:dyDescent="0.45">
      <c r="A371" s="2">
        <v>35339</v>
      </c>
      <c r="B371" s="3">
        <v>4.2969376300000004</v>
      </c>
      <c r="C371" s="3">
        <v>65.05</v>
      </c>
    </row>
    <row r="372" spans="1:3" x14ac:dyDescent="0.45">
      <c r="A372" s="2">
        <v>35370</v>
      </c>
      <c r="B372" s="3">
        <v>4.8741382099999999</v>
      </c>
      <c r="C372" s="3">
        <v>65.41</v>
      </c>
    </row>
    <row r="373" spans="1:3" x14ac:dyDescent="0.45">
      <c r="A373" s="2">
        <v>35400</v>
      </c>
      <c r="B373" s="3">
        <v>4.8741382099999999</v>
      </c>
      <c r="C373" s="3">
        <v>65.41</v>
      </c>
    </row>
    <row r="374" spans="1:3" x14ac:dyDescent="0.45">
      <c r="A374" s="2">
        <v>35431</v>
      </c>
      <c r="B374" s="3">
        <v>4.3998087000000003</v>
      </c>
      <c r="C374" s="3">
        <v>65.489999999999995</v>
      </c>
    </row>
    <row r="375" spans="1:3" x14ac:dyDescent="0.45">
      <c r="A375" s="2">
        <v>35462</v>
      </c>
      <c r="B375" s="3">
        <v>4.3747028099999996</v>
      </c>
      <c r="C375" s="3">
        <v>65.849999999999994</v>
      </c>
    </row>
    <row r="376" spans="1:3" x14ac:dyDescent="0.45">
      <c r="A376" s="2">
        <v>35490</v>
      </c>
      <c r="B376" s="3">
        <v>4.6632943400000002</v>
      </c>
      <c r="C376" s="3">
        <v>66.209999999999994</v>
      </c>
    </row>
    <row r="377" spans="1:3" x14ac:dyDescent="0.45">
      <c r="A377" s="2">
        <v>35521</v>
      </c>
      <c r="B377" s="3">
        <v>4.2125117899999998</v>
      </c>
      <c r="C377" s="3">
        <v>66.3</v>
      </c>
    </row>
    <row r="378" spans="1:3" x14ac:dyDescent="0.45">
      <c r="A378" s="2">
        <v>35551</v>
      </c>
      <c r="B378" s="3">
        <v>4.2006269600000001</v>
      </c>
      <c r="C378" s="3">
        <v>66.48</v>
      </c>
    </row>
    <row r="379" spans="1:3" x14ac:dyDescent="0.45">
      <c r="A379" s="2">
        <v>35582</v>
      </c>
      <c r="B379" s="3">
        <v>4.4670846400000004</v>
      </c>
      <c r="C379" s="3">
        <v>66.650000000000006</v>
      </c>
    </row>
    <row r="380" spans="1:3" x14ac:dyDescent="0.45">
      <c r="A380" s="2">
        <v>35612</v>
      </c>
      <c r="B380" s="3">
        <v>4.8765239100000004</v>
      </c>
      <c r="C380" s="3">
        <v>67.099999999999994</v>
      </c>
    </row>
    <row r="381" spans="1:3" x14ac:dyDescent="0.45">
      <c r="A381" s="2">
        <v>35643</v>
      </c>
      <c r="B381" s="3">
        <v>6.64086687</v>
      </c>
      <c r="C381" s="3">
        <v>68.89</v>
      </c>
    </row>
    <row r="382" spans="1:3" x14ac:dyDescent="0.45">
      <c r="A382" s="2">
        <v>35674</v>
      </c>
      <c r="B382" s="3">
        <v>6.8944195400000003</v>
      </c>
      <c r="C382" s="3">
        <v>69.150000000000006</v>
      </c>
    </row>
    <row r="383" spans="1:3" x14ac:dyDescent="0.45">
      <c r="A383" s="2">
        <v>35704</v>
      </c>
      <c r="B383" s="3">
        <v>7.2713297499999996</v>
      </c>
      <c r="C383" s="3">
        <v>69.78</v>
      </c>
    </row>
    <row r="384" spans="1:3" x14ac:dyDescent="0.45">
      <c r="A384" s="2">
        <v>35735</v>
      </c>
      <c r="B384" s="3">
        <v>7.4912093000000004</v>
      </c>
      <c r="C384" s="3">
        <v>70.31</v>
      </c>
    </row>
    <row r="385" spans="1:3" x14ac:dyDescent="0.45">
      <c r="A385" s="2">
        <v>35765</v>
      </c>
      <c r="B385" s="3">
        <v>7.4912093000000004</v>
      </c>
      <c r="C385" s="3">
        <v>70.31</v>
      </c>
    </row>
    <row r="386" spans="1:3" x14ac:dyDescent="0.45">
      <c r="A386" s="2">
        <v>35796</v>
      </c>
      <c r="B386" s="3">
        <v>8.59673233</v>
      </c>
      <c r="C386" s="3">
        <v>71.12</v>
      </c>
    </row>
    <row r="387" spans="1:3" x14ac:dyDescent="0.45">
      <c r="A387" s="2">
        <v>35827</v>
      </c>
      <c r="B387" s="3">
        <v>8.8078967400000003</v>
      </c>
      <c r="C387" s="3">
        <v>71.650000000000006</v>
      </c>
    </row>
    <row r="388" spans="1:3" x14ac:dyDescent="0.45">
      <c r="A388" s="2">
        <v>35855</v>
      </c>
      <c r="B388" s="3">
        <v>9.3037305499999992</v>
      </c>
      <c r="C388" s="3">
        <v>72.37</v>
      </c>
    </row>
    <row r="389" spans="1:3" x14ac:dyDescent="0.45">
      <c r="A389" s="2">
        <v>35886</v>
      </c>
      <c r="B389" s="3">
        <v>9.95475113</v>
      </c>
      <c r="C389" s="3">
        <v>72.900000000000006</v>
      </c>
    </row>
    <row r="390" spans="1:3" x14ac:dyDescent="0.45">
      <c r="A390" s="2">
        <v>35916</v>
      </c>
      <c r="B390" s="3">
        <v>10.33393502</v>
      </c>
      <c r="C390" s="3">
        <v>73.349999999999994</v>
      </c>
    </row>
    <row r="391" spans="1:3" x14ac:dyDescent="0.45">
      <c r="A391" s="2">
        <v>35947</v>
      </c>
      <c r="B391" s="3">
        <v>10.57764441</v>
      </c>
      <c r="C391" s="3">
        <v>73.7</v>
      </c>
    </row>
    <row r="392" spans="1:3" x14ac:dyDescent="0.45">
      <c r="A392" s="2">
        <v>35977</v>
      </c>
      <c r="B392" s="3">
        <v>9.9701937399999991</v>
      </c>
      <c r="C392" s="3">
        <v>73.790000000000006</v>
      </c>
    </row>
    <row r="393" spans="1:3" x14ac:dyDescent="0.45">
      <c r="A393" s="2">
        <v>36008</v>
      </c>
      <c r="B393" s="3">
        <v>7.5047176699999998</v>
      </c>
      <c r="C393" s="3">
        <v>74.06</v>
      </c>
    </row>
    <row r="394" spans="1:3" x14ac:dyDescent="0.45">
      <c r="A394" s="2">
        <v>36039</v>
      </c>
      <c r="B394" s="3">
        <v>6.8402024600000004</v>
      </c>
      <c r="C394" s="3">
        <v>73.88</v>
      </c>
    </row>
    <row r="395" spans="1:3" x14ac:dyDescent="0.45">
      <c r="A395" s="2">
        <v>36069</v>
      </c>
      <c r="B395" s="3">
        <v>5.7466322700000001</v>
      </c>
      <c r="C395" s="3">
        <v>73.790000000000006</v>
      </c>
    </row>
    <row r="396" spans="1:3" x14ac:dyDescent="0.45">
      <c r="A396" s="2">
        <v>36100</v>
      </c>
      <c r="B396" s="3">
        <v>4.57971839</v>
      </c>
      <c r="C396" s="3">
        <v>73.53</v>
      </c>
    </row>
    <row r="397" spans="1:3" x14ac:dyDescent="0.45">
      <c r="A397" s="2">
        <v>36130</v>
      </c>
      <c r="B397" s="3">
        <v>4.32370929</v>
      </c>
      <c r="C397" s="3">
        <v>73.349999999999994</v>
      </c>
    </row>
    <row r="398" spans="1:3" x14ac:dyDescent="0.45">
      <c r="A398" s="2">
        <v>36161</v>
      </c>
      <c r="B398" s="3">
        <v>3.38863892</v>
      </c>
      <c r="C398" s="3">
        <v>73.53</v>
      </c>
    </row>
    <row r="399" spans="1:3" x14ac:dyDescent="0.45">
      <c r="A399" s="2">
        <v>36192</v>
      </c>
      <c r="B399" s="3">
        <v>2.73551989</v>
      </c>
      <c r="C399" s="3">
        <v>73.61</v>
      </c>
    </row>
    <row r="400" spans="1:3" x14ac:dyDescent="0.45">
      <c r="A400" s="2">
        <v>36220</v>
      </c>
      <c r="B400" s="3">
        <v>1.4785132000000001</v>
      </c>
      <c r="C400" s="3">
        <v>73.44</v>
      </c>
    </row>
    <row r="401" spans="1:3" x14ac:dyDescent="0.45">
      <c r="A401" s="2">
        <v>36251</v>
      </c>
      <c r="B401" s="3">
        <v>0.49382715999999999</v>
      </c>
      <c r="C401" s="3">
        <v>73.260000000000005</v>
      </c>
    </row>
    <row r="402" spans="1:3" x14ac:dyDescent="0.45">
      <c r="A402" s="2">
        <v>36281</v>
      </c>
      <c r="B402" s="3">
        <v>-0.61349693000000005</v>
      </c>
      <c r="C402" s="3">
        <v>72.900000000000006</v>
      </c>
    </row>
    <row r="403" spans="1:3" x14ac:dyDescent="0.45">
      <c r="A403" s="2">
        <v>36312</v>
      </c>
      <c r="B403" s="3">
        <v>-1.2075983699999999</v>
      </c>
      <c r="C403" s="3">
        <v>72.81</v>
      </c>
    </row>
    <row r="404" spans="1:3" x14ac:dyDescent="0.45">
      <c r="A404" s="2">
        <v>36342</v>
      </c>
      <c r="B404" s="3">
        <v>-1.08415774</v>
      </c>
      <c r="C404" s="3">
        <v>72.989999999999995</v>
      </c>
    </row>
    <row r="405" spans="1:3" x14ac:dyDescent="0.45">
      <c r="A405" s="2">
        <v>36373</v>
      </c>
      <c r="B405" s="3">
        <v>-0.95868215000000001</v>
      </c>
      <c r="C405" s="3">
        <v>73.349999999999994</v>
      </c>
    </row>
    <row r="406" spans="1:3" x14ac:dyDescent="0.45">
      <c r="A406" s="2">
        <v>36404</v>
      </c>
      <c r="B406" s="3">
        <v>-0.71737952999999999</v>
      </c>
      <c r="C406" s="3">
        <v>73.349999999999994</v>
      </c>
    </row>
    <row r="407" spans="1:3" x14ac:dyDescent="0.45">
      <c r="A407" s="2">
        <v>36434</v>
      </c>
      <c r="B407" s="3">
        <v>-0.47431900999999999</v>
      </c>
      <c r="C407" s="3">
        <v>73.44</v>
      </c>
    </row>
    <row r="408" spans="1:3" x14ac:dyDescent="0.45">
      <c r="A408" s="2">
        <v>36465</v>
      </c>
      <c r="B408" s="3">
        <v>0</v>
      </c>
      <c r="C408" s="3">
        <v>73.53</v>
      </c>
    </row>
    <row r="409" spans="1:3" x14ac:dyDescent="0.45">
      <c r="A409" s="2">
        <v>36495</v>
      </c>
      <c r="B409" s="3">
        <v>0.59986366999999996</v>
      </c>
      <c r="C409" s="3">
        <v>73.790000000000006</v>
      </c>
    </row>
    <row r="410" spans="1:3" x14ac:dyDescent="0.45">
      <c r="A410" s="2">
        <v>36526</v>
      </c>
      <c r="B410" s="3">
        <v>0.59839520999999996</v>
      </c>
      <c r="C410" s="3">
        <v>73.97</v>
      </c>
    </row>
    <row r="411" spans="1:3" x14ac:dyDescent="0.45">
      <c r="A411" s="2">
        <v>36557</v>
      </c>
      <c r="B411" s="3">
        <v>0.97812796999999996</v>
      </c>
      <c r="C411" s="3">
        <v>74.33</v>
      </c>
    </row>
    <row r="412" spans="1:3" x14ac:dyDescent="0.45">
      <c r="A412" s="2">
        <v>36586</v>
      </c>
      <c r="B412" s="3">
        <v>1.2118736400000001</v>
      </c>
      <c r="C412" s="3">
        <v>74.33</v>
      </c>
    </row>
    <row r="413" spans="1:3" x14ac:dyDescent="0.45">
      <c r="A413" s="2">
        <v>36617</v>
      </c>
      <c r="B413" s="3">
        <v>1.0920010899999999</v>
      </c>
      <c r="C413" s="3">
        <v>74.06</v>
      </c>
    </row>
    <row r="414" spans="1:3" x14ac:dyDescent="0.45">
      <c r="A414" s="2">
        <v>36647</v>
      </c>
      <c r="B414" s="3">
        <v>1.7146776399999999</v>
      </c>
      <c r="C414" s="3">
        <v>74.150000000000006</v>
      </c>
    </row>
    <row r="415" spans="1:3" x14ac:dyDescent="0.45">
      <c r="A415" s="2">
        <v>36678</v>
      </c>
      <c r="B415" s="3">
        <v>2.0876253299999998</v>
      </c>
      <c r="C415" s="3">
        <v>74.33</v>
      </c>
    </row>
    <row r="416" spans="1:3" x14ac:dyDescent="0.45">
      <c r="A416" s="2">
        <v>36708</v>
      </c>
      <c r="B416" s="3">
        <v>1.95917249</v>
      </c>
      <c r="C416" s="3">
        <v>74.42</v>
      </c>
    </row>
    <row r="417" spans="1:3" x14ac:dyDescent="0.45">
      <c r="A417" s="2">
        <v>36739</v>
      </c>
      <c r="B417" s="3">
        <v>2.0586230400000001</v>
      </c>
      <c r="C417" s="3">
        <v>74.86</v>
      </c>
    </row>
    <row r="418" spans="1:3" x14ac:dyDescent="0.45">
      <c r="A418" s="2">
        <v>36770</v>
      </c>
      <c r="B418" s="3">
        <v>2.4267211999999998</v>
      </c>
      <c r="C418" s="3">
        <v>75.13</v>
      </c>
    </row>
    <row r="419" spans="1:3" x14ac:dyDescent="0.45">
      <c r="A419" s="2">
        <v>36800</v>
      </c>
      <c r="B419" s="3">
        <v>1.81100218</v>
      </c>
      <c r="C419" s="3">
        <v>74.77</v>
      </c>
    </row>
    <row r="420" spans="1:3" x14ac:dyDescent="0.45">
      <c r="A420" s="2">
        <v>36831</v>
      </c>
      <c r="B420" s="3">
        <v>1.80878553</v>
      </c>
      <c r="C420" s="3">
        <v>74.86</v>
      </c>
    </row>
    <row r="421" spans="1:3" x14ac:dyDescent="0.45">
      <c r="A421" s="2">
        <v>36861</v>
      </c>
      <c r="B421" s="3">
        <v>1.4500609799999999</v>
      </c>
      <c r="C421" s="3">
        <v>74.86</v>
      </c>
    </row>
    <row r="422" spans="1:3" x14ac:dyDescent="0.45">
      <c r="A422" s="2">
        <v>36892</v>
      </c>
      <c r="B422" s="3">
        <v>1.3248614299999999</v>
      </c>
      <c r="C422" s="3">
        <v>74.95</v>
      </c>
    </row>
    <row r="423" spans="1:3" x14ac:dyDescent="0.45">
      <c r="A423" s="2">
        <v>36923</v>
      </c>
      <c r="B423" s="3">
        <v>1.4395264400000001</v>
      </c>
      <c r="C423" s="3">
        <v>75.400000000000006</v>
      </c>
    </row>
    <row r="424" spans="1:3" x14ac:dyDescent="0.45">
      <c r="A424" s="2">
        <v>36951</v>
      </c>
      <c r="B424" s="3">
        <v>1.4395264400000001</v>
      </c>
      <c r="C424" s="3">
        <v>75.400000000000006</v>
      </c>
    </row>
    <row r="425" spans="1:3" x14ac:dyDescent="0.45">
      <c r="A425" s="2">
        <v>36982</v>
      </c>
      <c r="B425" s="3">
        <v>2.52497975</v>
      </c>
      <c r="C425" s="3">
        <v>75.930000000000007</v>
      </c>
    </row>
    <row r="426" spans="1:3" x14ac:dyDescent="0.45">
      <c r="A426" s="2">
        <v>37012</v>
      </c>
      <c r="B426" s="3">
        <v>2.7646662200000001</v>
      </c>
      <c r="C426" s="3">
        <v>76.2</v>
      </c>
    </row>
    <row r="427" spans="1:3" x14ac:dyDescent="0.45">
      <c r="A427" s="2">
        <v>37043</v>
      </c>
      <c r="B427" s="3">
        <v>2.1525628999999999</v>
      </c>
      <c r="C427" s="3">
        <v>75.930000000000007</v>
      </c>
    </row>
    <row r="428" spans="1:3" x14ac:dyDescent="0.45">
      <c r="A428" s="2">
        <v>37073</v>
      </c>
      <c r="B428" s="3">
        <v>2.02902446</v>
      </c>
      <c r="C428" s="3">
        <v>75.930000000000007</v>
      </c>
    </row>
    <row r="429" spans="1:3" x14ac:dyDescent="0.45">
      <c r="A429" s="2">
        <v>37104</v>
      </c>
      <c r="B429" s="3">
        <v>1.4293347599999999</v>
      </c>
      <c r="C429" s="3">
        <v>75.930000000000007</v>
      </c>
    </row>
    <row r="430" spans="1:3" x14ac:dyDescent="0.45">
      <c r="A430" s="2">
        <v>37135</v>
      </c>
      <c r="B430" s="3">
        <v>1.3044057</v>
      </c>
      <c r="C430" s="3">
        <v>76.11</v>
      </c>
    </row>
    <row r="431" spans="1:3" x14ac:dyDescent="0.45">
      <c r="A431" s="2">
        <v>37165</v>
      </c>
      <c r="B431" s="3">
        <v>1.3240604499999999</v>
      </c>
      <c r="C431" s="3">
        <v>75.760000000000005</v>
      </c>
    </row>
    <row r="432" spans="1:3" x14ac:dyDescent="0.45">
      <c r="A432" s="2">
        <v>37196</v>
      </c>
      <c r="B432" s="3">
        <v>0.96179535000000005</v>
      </c>
      <c r="C432" s="3">
        <v>75.58</v>
      </c>
    </row>
    <row r="433" spans="1:3" x14ac:dyDescent="0.45">
      <c r="A433" s="2">
        <v>37226</v>
      </c>
      <c r="B433" s="3">
        <v>0.72134651000000005</v>
      </c>
      <c r="C433" s="3">
        <v>75.400000000000006</v>
      </c>
    </row>
    <row r="434" spans="1:3" x14ac:dyDescent="0.45">
      <c r="A434" s="2">
        <v>37257</v>
      </c>
      <c r="B434" s="3">
        <v>0.84056036999999995</v>
      </c>
      <c r="C434" s="3">
        <v>75.58</v>
      </c>
    </row>
    <row r="435" spans="1:3" x14ac:dyDescent="0.45">
      <c r="A435" s="2">
        <v>37288</v>
      </c>
      <c r="B435" s="3">
        <v>0.35809018999999997</v>
      </c>
      <c r="C435" s="3">
        <v>75.67</v>
      </c>
    </row>
    <row r="436" spans="1:3" x14ac:dyDescent="0.45">
      <c r="A436" s="2">
        <v>37316</v>
      </c>
      <c r="B436" s="3">
        <v>0.59681698000000005</v>
      </c>
      <c r="C436" s="3">
        <v>75.849999999999994</v>
      </c>
    </row>
    <row r="437" spans="1:3" x14ac:dyDescent="0.45">
      <c r="A437" s="2">
        <v>37347</v>
      </c>
      <c r="B437" s="3">
        <v>0.47412090000000001</v>
      </c>
      <c r="C437" s="3">
        <v>76.290000000000006</v>
      </c>
    </row>
    <row r="438" spans="1:3" x14ac:dyDescent="0.45">
      <c r="A438" s="2">
        <v>37377</v>
      </c>
      <c r="B438" s="3">
        <v>0.23622046999999999</v>
      </c>
      <c r="C438" s="3">
        <v>76.38</v>
      </c>
    </row>
    <row r="439" spans="1:3" x14ac:dyDescent="0.45">
      <c r="A439" s="2">
        <v>37408</v>
      </c>
      <c r="B439" s="3">
        <v>0.35559067999999999</v>
      </c>
      <c r="C439" s="3">
        <v>76.2</v>
      </c>
    </row>
    <row r="440" spans="1:3" x14ac:dyDescent="0.45">
      <c r="A440" s="2">
        <v>37438</v>
      </c>
      <c r="B440" s="3">
        <v>0.23706045000000001</v>
      </c>
      <c r="C440" s="3">
        <v>76.11</v>
      </c>
    </row>
    <row r="441" spans="1:3" x14ac:dyDescent="0.45">
      <c r="A441" s="2">
        <v>37469</v>
      </c>
      <c r="B441" s="3">
        <v>0.35559067999999999</v>
      </c>
      <c r="C441" s="3">
        <v>76.2</v>
      </c>
    </row>
    <row r="442" spans="1:3" x14ac:dyDescent="0.45">
      <c r="A442" s="2">
        <v>37500</v>
      </c>
      <c r="B442" s="3">
        <v>0.47299961000000001</v>
      </c>
      <c r="C442" s="3">
        <v>76.47</v>
      </c>
    </row>
    <row r="443" spans="1:3" x14ac:dyDescent="0.45">
      <c r="A443" s="2">
        <v>37530</v>
      </c>
      <c r="B443" s="3">
        <v>1.5311509999999999</v>
      </c>
      <c r="C443" s="3">
        <v>76.92</v>
      </c>
    </row>
    <row r="444" spans="1:3" x14ac:dyDescent="0.45">
      <c r="A444" s="2">
        <v>37561</v>
      </c>
      <c r="B444" s="3">
        <v>1.2966393199999999</v>
      </c>
      <c r="C444" s="3">
        <v>76.56</v>
      </c>
    </row>
    <row r="445" spans="1:3" x14ac:dyDescent="0.45">
      <c r="A445" s="2">
        <v>37591</v>
      </c>
      <c r="B445" s="3">
        <v>1.6578249300000001</v>
      </c>
      <c r="C445" s="3">
        <v>76.650000000000006</v>
      </c>
    </row>
    <row r="446" spans="1:3" x14ac:dyDescent="0.45">
      <c r="A446" s="2">
        <v>37622</v>
      </c>
      <c r="B446" s="3">
        <v>2.2360412799999998</v>
      </c>
      <c r="C446" s="3">
        <v>77.27</v>
      </c>
    </row>
    <row r="447" spans="1:3" x14ac:dyDescent="0.45">
      <c r="A447" s="2">
        <v>37653</v>
      </c>
      <c r="B447" s="3">
        <v>1.99550681</v>
      </c>
      <c r="C447" s="3">
        <v>77.180000000000007</v>
      </c>
    </row>
    <row r="448" spans="1:3" x14ac:dyDescent="0.45">
      <c r="A448" s="2">
        <v>37681</v>
      </c>
      <c r="B448" s="3">
        <v>1.7534607799999999</v>
      </c>
      <c r="C448" s="3">
        <v>77.180000000000007</v>
      </c>
    </row>
    <row r="449" spans="1:3" x14ac:dyDescent="0.45">
      <c r="A449" s="2">
        <v>37712</v>
      </c>
      <c r="B449" s="3">
        <v>1.5205138300000001</v>
      </c>
      <c r="C449" s="3">
        <v>77.45</v>
      </c>
    </row>
    <row r="450" spans="1:3" x14ac:dyDescent="0.45">
      <c r="A450" s="2">
        <v>37742</v>
      </c>
      <c r="B450" s="3">
        <v>1.8722178599999999</v>
      </c>
      <c r="C450" s="3">
        <v>77.81</v>
      </c>
    </row>
    <row r="451" spans="1:3" x14ac:dyDescent="0.45">
      <c r="A451" s="2">
        <v>37773</v>
      </c>
      <c r="B451" s="3">
        <v>1.6404199500000001</v>
      </c>
      <c r="C451" s="3">
        <v>77.45</v>
      </c>
    </row>
    <row r="452" spans="1:3" x14ac:dyDescent="0.45">
      <c r="A452" s="2">
        <v>37803</v>
      </c>
      <c r="B452" s="3">
        <v>1.76060964</v>
      </c>
      <c r="C452" s="3">
        <v>77.45</v>
      </c>
    </row>
    <row r="453" spans="1:3" x14ac:dyDescent="0.45">
      <c r="A453" s="2">
        <v>37834</v>
      </c>
      <c r="B453" s="3">
        <v>2.2309711299999999</v>
      </c>
      <c r="C453" s="3">
        <v>77.900000000000006</v>
      </c>
    </row>
    <row r="454" spans="1:3" x14ac:dyDescent="0.45">
      <c r="A454" s="2">
        <v>37865</v>
      </c>
      <c r="B454" s="3">
        <v>1.7523211700000001</v>
      </c>
      <c r="C454" s="3">
        <v>77.81</v>
      </c>
    </row>
    <row r="455" spans="1:3" x14ac:dyDescent="0.45">
      <c r="A455" s="2">
        <v>37895</v>
      </c>
      <c r="B455" s="3">
        <v>1.2740509600000001</v>
      </c>
      <c r="C455" s="3">
        <v>77.900000000000006</v>
      </c>
    </row>
    <row r="456" spans="1:3" x14ac:dyDescent="0.45">
      <c r="A456" s="2">
        <v>37926</v>
      </c>
      <c r="B456" s="3">
        <v>1.86781609</v>
      </c>
      <c r="C456" s="3">
        <v>77.989999999999995</v>
      </c>
    </row>
    <row r="457" spans="1:3" x14ac:dyDescent="0.45">
      <c r="A457" s="2">
        <v>37956</v>
      </c>
      <c r="B457" s="3">
        <v>1.74820613</v>
      </c>
      <c r="C457" s="3">
        <v>77.989999999999995</v>
      </c>
    </row>
    <row r="458" spans="1:3" x14ac:dyDescent="0.45">
      <c r="A458" s="2">
        <v>37987</v>
      </c>
      <c r="B458" s="3">
        <v>1.2682800599999999</v>
      </c>
      <c r="C458" s="3">
        <v>78.25</v>
      </c>
    </row>
    <row r="459" spans="1:3" x14ac:dyDescent="0.45">
      <c r="A459" s="2">
        <v>38018</v>
      </c>
      <c r="B459" s="3">
        <v>2.20264317</v>
      </c>
      <c r="C459" s="3">
        <v>78.88</v>
      </c>
    </row>
    <row r="460" spans="1:3" x14ac:dyDescent="0.45">
      <c r="A460" s="2">
        <v>38047</v>
      </c>
      <c r="B460" s="3">
        <v>2.4358642100000001</v>
      </c>
      <c r="C460" s="3">
        <v>79.06</v>
      </c>
    </row>
    <row r="461" spans="1:3" x14ac:dyDescent="0.45">
      <c r="A461" s="2">
        <v>38078</v>
      </c>
      <c r="B461" s="3">
        <v>2.5306649499999998</v>
      </c>
      <c r="C461" s="3">
        <v>79.41</v>
      </c>
    </row>
    <row r="462" spans="1:3" x14ac:dyDescent="0.45">
      <c r="A462" s="2">
        <v>38108</v>
      </c>
      <c r="B462" s="3">
        <v>2.4032900700000002</v>
      </c>
      <c r="C462" s="3">
        <v>79.680000000000007</v>
      </c>
    </row>
    <row r="463" spans="1:3" x14ac:dyDescent="0.45">
      <c r="A463" s="2">
        <v>38139</v>
      </c>
      <c r="B463" s="3">
        <v>3.1116849599999998</v>
      </c>
      <c r="C463" s="3">
        <v>79.86</v>
      </c>
    </row>
    <row r="464" spans="1:3" x14ac:dyDescent="0.45">
      <c r="A464" s="2">
        <v>38169</v>
      </c>
      <c r="B464" s="3">
        <v>3.22788896</v>
      </c>
      <c r="C464" s="3">
        <v>79.95</v>
      </c>
    </row>
    <row r="465" spans="1:3" x14ac:dyDescent="0.45">
      <c r="A465" s="2">
        <v>38200</v>
      </c>
      <c r="B465" s="3">
        <v>3.09370988</v>
      </c>
      <c r="C465" s="3">
        <v>80.31</v>
      </c>
    </row>
    <row r="466" spans="1:3" x14ac:dyDescent="0.45">
      <c r="A466" s="2">
        <v>38231</v>
      </c>
      <c r="B466" s="3">
        <v>3.5471019099999999</v>
      </c>
      <c r="C466" s="3">
        <v>80.569999999999993</v>
      </c>
    </row>
    <row r="467" spans="1:3" x14ac:dyDescent="0.45">
      <c r="A467" s="2">
        <v>38261</v>
      </c>
      <c r="B467" s="3">
        <v>3.4274711199999999</v>
      </c>
      <c r="C467" s="3">
        <v>80.569999999999993</v>
      </c>
    </row>
    <row r="468" spans="1:3" x14ac:dyDescent="0.45">
      <c r="A468" s="2">
        <v>38292</v>
      </c>
      <c r="B468" s="3">
        <v>2.9747403499999998</v>
      </c>
      <c r="C468" s="3">
        <v>80.31</v>
      </c>
    </row>
    <row r="469" spans="1:3" x14ac:dyDescent="0.45">
      <c r="A469" s="2">
        <v>38322</v>
      </c>
      <c r="B469" s="3">
        <v>2.9747403499999998</v>
      </c>
      <c r="C469" s="3">
        <v>80.31</v>
      </c>
    </row>
    <row r="470" spans="1:3" x14ac:dyDescent="0.45">
      <c r="A470" s="2">
        <v>38353</v>
      </c>
      <c r="B470" s="3">
        <v>2.7476038300000001</v>
      </c>
      <c r="C470" s="3">
        <v>80.400000000000006</v>
      </c>
    </row>
    <row r="471" spans="1:3" x14ac:dyDescent="0.45">
      <c r="A471" s="2">
        <v>38384</v>
      </c>
      <c r="B471" s="3">
        <v>2.4847870200000002</v>
      </c>
      <c r="C471" s="3">
        <v>80.84</v>
      </c>
    </row>
    <row r="472" spans="1:3" x14ac:dyDescent="0.45">
      <c r="A472" s="2">
        <v>38412</v>
      </c>
      <c r="B472" s="3">
        <v>3.16215533</v>
      </c>
      <c r="C472" s="3">
        <v>81.56</v>
      </c>
    </row>
    <row r="473" spans="1:3" x14ac:dyDescent="0.45">
      <c r="A473" s="2">
        <v>38443</v>
      </c>
      <c r="B473" s="3">
        <v>3.4882256599999999</v>
      </c>
      <c r="C473" s="3">
        <v>82.18</v>
      </c>
    </row>
    <row r="474" spans="1:3" x14ac:dyDescent="0.45">
      <c r="A474" s="2">
        <v>38473</v>
      </c>
      <c r="B474" s="3">
        <v>3.8152610400000002</v>
      </c>
      <c r="C474" s="3">
        <v>82.72</v>
      </c>
    </row>
    <row r="475" spans="1:3" x14ac:dyDescent="0.45">
      <c r="A475" s="2">
        <v>38504</v>
      </c>
      <c r="B475" s="3">
        <v>3.7941397399999999</v>
      </c>
      <c r="C475" s="3">
        <v>82.89</v>
      </c>
    </row>
    <row r="476" spans="1:3" x14ac:dyDescent="0.45">
      <c r="A476" s="2">
        <v>38534</v>
      </c>
      <c r="B476" s="3">
        <v>5.3533458400000002</v>
      </c>
      <c r="C476" s="3">
        <v>84.23</v>
      </c>
    </row>
    <row r="477" spans="1:3" x14ac:dyDescent="0.45">
      <c r="A477" s="2">
        <v>38565</v>
      </c>
      <c r="B477" s="3">
        <v>5.5534802599999997</v>
      </c>
      <c r="C477" s="3">
        <v>84.77</v>
      </c>
    </row>
    <row r="478" spans="1:3" x14ac:dyDescent="0.45">
      <c r="A478" s="2">
        <v>38596</v>
      </c>
      <c r="B478" s="3">
        <v>5.9823755700000003</v>
      </c>
      <c r="C478" s="3">
        <v>85.39</v>
      </c>
    </row>
    <row r="479" spans="1:3" x14ac:dyDescent="0.45">
      <c r="A479" s="2">
        <v>38626</v>
      </c>
      <c r="B479" s="3">
        <v>6.3174878999999997</v>
      </c>
      <c r="C479" s="3">
        <v>85.66</v>
      </c>
    </row>
    <row r="480" spans="1:3" x14ac:dyDescent="0.45">
      <c r="A480" s="2">
        <v>38657</v>
      </c>
      <c r="B480" s="3">
        <v>5.8896775000000003</v>
      </c>
      <c r="C480" s="3">
        <v>85.04</v>
      </c>
    </row>
    <row r="481" spans="1:3" x14ac:dyDescent="0.45">
      <c r="A481" s="2">
        <v>38687</v>
      </c>
      <c r="B481" s="3">
        <v>5.7776117500000002</v>
      </c>
      <c r="C481" s="3">
        <v>84.95</v>
      </c>
    </row>
    <row r="482" spans="1:3" x14ac:dyDescent="0.45">
      <c r="A482" s="2">
        <v>38718</v>
      </c>
      <c r="B482" s="3">
        <v>5.8830845800000002</v>
      </c>
      <c r="C482" s="3">
        <v>85.13</v>
      </c>
    </row>
    <row r="483" spans="1:3" x14ac:dyDescent="0.45">
      <c r="A483" s="2">
        <v>38749</v>
      </c>
      <c r="B483" s="3">
        <v>5.5170707600000002</v>
      </c>
      <c r="C483" s="3">
        <v>85.3</v>
      </c>
    </row>
    <row r="484" spans="1:3" x14ac:dyDescent="0.45">
      <c r="A484" s="2">
        <v>38777</v>
      </c>
      <c r="B484" s="3">
        <v>5.6890632700000001</v>
      </c>
      <c r="C484" s="3">
        <v>86.2</v>
      </c>
    </row>
    <row r="485" spans="1:3" x14ac:dyDescent="0.45">
      <c r="A485" s="2">
        <v>38808</v>
      </c>
      <c r="B485" s="3">
        <v>6.0842054000000001</v>
      </c>
      <c r="C485" s="3">
        <v>87.18</v>
      </c>
    </row>
    <row r="486" spans="1:3" x14ac:dyDescent="0.45">
      <c r="A486" s="2">
        <v>38838</v>
      </c>
      <c r="B486" s="3">
        <v>6.1411992299999998</v>
      </c>
      <c r="C486" s="3">
        <v>87.8</v>
      </c>
    </row>
    <row r="487" spans="1:3" x14ac:dyDescent="0.45">
      <c r="A487" s="2">
        <v>38869</v>
      </c>
      <c r="B487" s="3">
        <v>5.9235130900000001</v>
      </c>
      <c r="C487" s="3">
        <v>87.8</v>
      </c>
    </row>
    <row r="488" spans="1:3" x14ac:dyDescent="0.45">
      <c r="A488" s="2">
        <v>38899</v>
      </c>
      <c r="B488" s="3">
        <v>4.4520954499999998</v>
      </c>
      <c r="C488" s="3">
        <v>87.98</v>
      </c>
    </row>
    <row r="489" spans="1:3" x14ac:dyDescent="0.45">
      <c r="A489" s="2">
        <v>38930</v>
      </c>
      <c r="B489" s="3">
        <v>3.7867169999999999</v>
      </c>
      <c r="C489" s="3">
        <v>87.98</v>
      </c>
    </row>
    <row r="490" spans="1:3" x14ac:dyDescent="0.45">
      <c r="A490" s="2">
        <v>38961</v>
      </c>
      <c r="B490" s="3">
        <v>2.7169457800000001</v>
      </c>
      <c r="C490" s="3">
        <v>87.71</v>
      </c>
    </row>
    <row r="491" spans="1:3" x14ac:dyDescent="0.45">
      <c r="A491" s="2">
        <v>38991</v>
      </c>
      <c r="B491" s="3">
        <v>2.8134485200000001</v>
      </c>
      <c r="C491" s="3">
        <v>88.07</v>
      </c>
    </row>
    <row r="492" spans="1:3" x14ac:dyDescent="0.45">
      <c r="A492" s="2">
        <v>39022</v>
      </c>
      <c r="B492" s="3">
        <v>3.45719661</v>
      </c>
      <c r="C492" s="3">
        <v>87.98</v>
      </c>
    </row>
    <row r="493" spans="1:3" x14ac:dyDescent="0.45">
      <c r="A493" s="2">
        <v>39052</v>
      </c>
      <c r="B493" s="3">
        <v>3.5668039999999999</v>
      </c>
      <c r="C493" s="3">
        <v>87.98</v>
      </c>
    </row>
    <row r="494" spans="1:3" x14ac:dyDescent="0.45">
      <c r="A494" s="2">
        <v>39083</v>
      </c>
      <c r="B494" s="3">
        <v>3.0189122500000001</v>
      </c>
      <c r="C494" s="3">
        <v>87.7</v>
      </c>
    </row>
    <row r="495" spans="1:3" x14ac:dyDescent="0.45">
      <c r="A495" s="2">
        <v>39114</v>
      </c>
      <c r="B495" s="3">
        <v>2.4618991800000001</v>
      </c>
      <c r="C495" s="3">
        <v>87.4</v>
      </c>
    </row>
    <row r="496" spans="1:3" x14ac:dyDescent="0.45">
      <c r="A496" s="2">
        <v>39142</v>
      </c>
      <c r="B496" s="3">
        <v>1.9721577699999999</v>
      </c>
      <c r="C496" s="3">
        <v>87.9</v>
      </c>
    </row>
    <row r="497" spans="1:3" x14ac:dyDescent="0.45">
      <c r="A497" s="2">
        <v>39173</v>
      </c>
      <c r="B497" s="3">
        <v>1.8582243599999999</v>
      </c>
      <c r="C497" s="3">
        <v>88.8</v>
      </c>
    </row>
    <row r="498" spans="1:3" x14ac:dyDescent="0.45">
      <c r="A498" s="2">
        <v>39203</v>
      </c>
      <c r="B498" s="3">
        <v>1.9362186800000001</v>
      </c>
      <c r="C498" s="3">
        <v>89.5</v>
      </c>
    </row>
    <row r="499" spans="1:3" x14ac:dyDescent="0.45">
      <c r="A499" s="2">
        <v>39234</v>
      </c>
      <c r="B499" s="3">
        <v>1.9362186800000001</v>
      </c>
      <c r="C499" s="3">
        <v>89.5</v>
      </c>
    </row>
    <row r="500" spans="1:3" x14ac:dyDescent="0.45">
      <c r="A500" s="2">
        <v>39264</v>
      </c>
      <c r="B500" s="3">
        <v>1.7276653799999999</v>
      </c>
      <c r="C500" s="3">
        <v>89.5</v>
      </c>
    </row>
    <row r="501" spans="1:3" x14ac:dyDescent="0.45">
      <c r="A501" s="2">
        <v>39295</v>
      </c>
      <c r="B501" s="3">
        <v>1.1593544</v>
      </c>
      <c r="C501" s="3">
        <v>89</v>
      </c>
    </row>
    <row r="502" spans="1:3" x14ac:dyDescent="0.45">
      <c r="A502" s="2">
        <v>39326</v>
      </c>
      <c r="B502" s="3">
        <v>2.0408163300000002</v>
      </c>
      <c r="C502" s="3">
        <v>89.5</v>
      </c>
    </row>
    <row r="503" spans="1:3" x14ac:dyDescent="0.45">
      <c r="A503" s="2">
        <v>39356</v>
      </c>
      <c r="B503" s="3">
        <v>2.5320767599999998</v>
      </c>
      <c r="C503" s="3">
        <v>90.3</v>
      </c>
    </row>
    <row r="504" spans="1:3" x14ac:dyDescent="0.45">
      <c r="A504" s="2">
        <v>39387</v>
      </c>
      <c r="B504" s="3">
        <v>3.0916117299999999</v>
      </c>
      <c r="C504" s="3">
        <v>90.7</v>
      </c>
    </row>
    <row r="505" spans="1:3" x14ac:dyDescent="0.45">
      <c r="A505" s="2">
        <v>39417</v>
      </c>
      <c r="B505" s="3">
        <v>3.0916117299999999</v>
      </c>
      <c r="C505" s="3">
        <v>90.7</v>
      </c>
    </row>
    <row r="506" spans="1:3" x14ac:dyDescent="0.45">
      <c r="A506" s="2">
        <v>39448</v>
      </c>
      <c r="B506" s="3">
        <v>4.3329532500000001</v>
      </c>
      <c r="C506" s="3">
        <v>91.5</v>
      </c>
    </row>
    <row r="507" spans="1:3" x14ac:dyDescent="0.45">
      <c r="A507" s="2">
        <v>39479</v>
      </c>
      <c r="B507" s="3">
        <v>5.3775743699999996</v>
      </c>
      <c r="C507" s="3">
        <v>92.1</v>
      </c>
    </row>
    <row r="508" spans="1:3" x14ac:dyDescent="0.45">
      <c r="A508" s="2">
        <v>39508</v>
      </c>
      <c r="B508" s="3">
        <v>5.3469852099999997</v>
      </c>
      <c r="C508" s="3">
        <v>92.6</v>
      </c>
    </row>
    <row r="509" spans="1:3" x14ac:dyDescent="0.45">
      <c r="A509" s="2">
        <v>39539</v>
      </c>
      <c r="B509" s="3">
        <v>6.0810810799999997</v>
      </c>
      <c r="C509" s="3">
        <v>94.2</v>
      </c>
    </row>
    <row r="510" spans="1:3" x14ac:dyDescent="0.45">
      <c r="A510" s="2">
        <v>39569</v>
      </c>
      <c r="B510" s="3">
        <v>7.5977653600000004</v>
      </c>
      <c r="C510" s="3">
        <v>96.3</v>
      </c>
    </row>
    <row r="511" spans="1:3" x14ac:dyDescent="0.45">
      <c r="A511" s="2">
        <v>39600</v>
      </c>
      <c r="B511" s="3">
        <v>8.7150838000000004</v>
      </c>
      <c r="C511" s="3">
        <v>97.3</v>
      </c>
    </row>
    <row r="512" spans="1:3" x14ac:dyDescent="0.45">
      <c r="A512" s="2">
        <v>39630</v>
      </c>
      <c r="B512" s="3">
        <v>9.1620111699999995</v>
      </c>
      <c r="C512" s="3">
        <v>97.7</v>
      </c>
    </row>
    <row r="513" spans="1:3" x14ac:dyDescent="0.45">
      <c r="A513" s="2">
        <v>39661</v>
      </c>
      <c r="B513" s="3">
        <v>6.5168539299999999</v>
      </c>
      <c r="C513" s="3">
        <v>94.8</v>
      </c>
    </row>
    <row r="514" spans="1:3" x14ac:dyDescent="0.45">
      <c r="A514" s="2">
        <v>39692</v>
      </c>
      <c r="B514" s="3">
        <v>6.0335195500000003</v>
      </c>
      <c r="C514" s="3">
        <v>94.9</v>
      </c>
    </row>
    <row r="515" spans="1:3" x14ac:dyDescent="0.45">
      <c r="A515" s="2">
        <v>39722</v>
      </c>
      <c r="B515" s="3">
        <v>3.8759689900000001</v>
      </c>
      <c r="C515" s="3">
        <v>93.8</v>
      </c>
    </row>
    <row r="516" spans="1:3" x14ac:dyDescent="0.45">
      <c r="A516" s="2">
        <v>39753</v>
      </c>
      <c r="B516" s="3">
        <v>2.09481808</v>
      </c>
      <c r="C516" s="3">
        <v>92.6</v>
      </c>
    </row>
    <row r="517" spans="1:3" x14ac:dyDescent="0.45">
      <c r="A517" s="2">
        <v>39783</v>
      </c>
      <c r="B517" s="3">
        <v>0.44101433000000001</v>
      </c>
      <c r="C517" s="3">
        <v>91.1</v>
      </c>
    </row>
    <row r="518" spans="1:3" x14ac:dyDescent="0.45">
      <c r="A518" s="2">
        <v>39814</v>
      </c>
      <c r="B518" s="3">
        <v>-0.43715847000000002</v>
      </c>
      <c r="C518" s="3">
        <v>91.1</v>
      </c>
    </row>
    <row r="519" spans="1:3" x14ac:dyDescent="0.45">
      <c r="A519" s="2">
        <v>39845</v>
      </c>
      <c r="B519" s="3">
        <v>-0.10857762999999999</v>
      </c>
      <c r="C519" s="3">
        <v>92</v>
      </c>
    </row>
    <row r="520" spans="1:3" x14ac:dyDescent="0.45">
      <c r="A520" s="2">
        <v>39873</v>
      </c>
      <c r="B520" s="3">
        <v>-0.21598271999999999</v>
      </c>
      <c r="C520" s="3">
        <v>92.4</v>
      </c>
    </row>
    <row r="521" spans="1:3" x14ac:dyDescent="0.45">
      <c r="A521" s="2">
        <v>39904</v>
      </c>
      <c r="B521" s="3">
        <v>-0.95541401000000004</v>
      </c>
      <c r="C521" s="3">
        <v>93.3</v>
      </c>
    </row>
    <row r="522" spans="1:3" x14ac:dyDescent="0.45">
      <c r="A522" s="2">
        <v>39934</v>
      </c>
      <c r="B522" s="3">
        <v>-3.3229491200000001</v>
      </c>
      <c r="C522" s="3">
        <v>93.1</v>
      </c>
    </row>
    <row r="523" spans="1:3" x14ac:dyDescent="0.45">
      <c r="A523" s="2">
        <v>39965</v>
      </c>
      <c r="B523" s="3">
        <v>-4.00822199</v>
      </c>
      <c r="C523" s="3">
        <v>93.4</v>
      </c>
    </row>
    <row r="524" spans="1:3" x14ac:dyDescent="0.45">
      <c r="A524" s="2">
        <v>39995</v>
      </c>
      <c r="B524" s="3">
        <v>-4.40122825</v>
      </c>
      <c r="C524" s="3">
        <v>93.4</v>
      </c>
    </row>
    <row r="525" spans="1:3" x14ac:dyDescent="0.45">
      <c r="A525" s="2">
        <v>40026</v>
      </c>
      <c r="B525" s="3">
        <v>-1.05485232</v>
      </c>
      <c r="C525" s="3">
        <v>93.8</v>
      </c>
    </row>
    <row r="526" spans="1:3" x14ac:dyDescent="0.45">
      <c r="A526" s="2">
        <v>40057</v>
      </c>
      <c r="B526" s="3">
        <v>-0.94836670000000001</v>
      </c>
      <c r="C526" s="3">
        <v>94</v>
      </c>
    </row>
    <row r="527" spans="1:3" x14ac:dyDescent="0.45">
      <c r="A527" s="2">
        <v>40087</v>
      </c>
      <c r="B527" s="3">
        <v>0.31982941999999998</v>
      </c>
      <c r="C527" s="3">
        <v>94.1</v>
      </c>
    </row>
    <row r="528" spans="1:3" x14ac:dyDescent="0.45">
      <c r="A528" s="2">
        <v>40118</v>
      </c>
      <c r="B528" s="3">
        <v>1.94384449</v>
      </c>
      <c r="C528" s="3">
        <v>94.4</v>
      </c>
    </row>
    <row r="529" spans="1:3" x14ac:dyDescent="0.45">
      <c r="A529" s="2">
        <v>40148</v>
      </c>
      <c r="B529" s="3">
        <v>3.5126234900000002</v>
      </c>
      <c r="C529" s="3">
        <v>94.3</v>
      </c>
    </row>
    <row r="530" spans="1:3" x14ac:dyDescent="0.45">
      <c r="A530" s="2">
        <v>40179</v>
      </c>
      <c r="B530" s="3">
        <v>4.1053787000000002</v>
      </c>
      <c r="C530" s="3">
        <v>94.84</v>
      </c>
    </row>
    <row r="531" spans="1:3" x14ac:dyDescent="0.45">
      <c r="A531" s="2">
        <v>40210</v>
      </c>
      <c r="B531" s="3">
        <v>3.6630434799999998</v>
      </c>
      <c r="C531" s="3">
        <v>95.37</v>
      </c>
    </row>
    <row r="532" spans="1:3" x14ac:dyDescent="0.45">
      <c r="A532" s="2">
        <v>40238</v>
      </c>
      <c r="B532" s="3">
        <v>3.4523809499999998</v>
      </c>
      <c r="C532" s="3">
        <v>95.59</v>
      </c>
    </row>
    <row r="533" spans="1:3" x14ac:dyDescent="0.45">
      <c r="A533" s="2">
        <v>40269</v>
      </c>
      <c r="B533" s="3">
        <v>2.9581993600000001</v>
      </c>
      <c r="C533" s="3">
        <v>96.06</v>
      </c>
    </row>
    <row r="534" spans="1:3" x14ac:dyDescent="0.45">
      <c r="A534" s="2">
        <v>40299</v>
      </c>
      <c r="B534" s="3">
        <v>3.3834586500000001</v>
      </c>
      <c r="C534" s="3">
        <v>96.25</v>
      </c>
    </row>
    <row r="535" spans="1:3" x14ac:dyDescent="0.45">
      <c r="A535" s="2">
        <v>40330</v>
      </c>
      <c r="B535" s="3">
        <v>3.3190578199999998</v>
      </c>
      <c r="C535" s="3">
        <v>96.5</v>
      </c>
    </row>
    <row r="536" spans="1:3" x14ac:dyDescent="0.45">
      <c r="A536" s="2">
        <v>40360</v>
      </c>
      <c r="B536" s="3">
        <v>3.4796573899999999</v>
      </c>
      <c r="C536" s="3">
        <v>96.65</v>
      </c>
    </row>
    <row r="537" spans="1:3" x14ac:dyDescent="0.45">
      <c r="A537" s="2">
        <v>40391</v>
      </c>
      <c r="B537" s="3">
        <v>3.2835820899999999</v>
      </c>
      <c r="C537" s="3">
        <v>96.88</v>
      </c>
    </row>
    <row r="538" spans="1:3" x14ac:dyDescent="0.45">
      <c r="A538" s="2">
        <v>40422</v>
      </c>
      <c r="B538" s="3">
        <v>2.9893616999999999</v>
      </c>
      <c r="C538" s="3">
        <v>96.81</v>
      </c>
    </row>
    <row r="539" spans="1:3" x14ac:dyDescent="0.45">
      <c r="A539" s="2">
        <v>40452</v>
      </c>
      <c r="B539" s="3">
        <v>2.9011689700000001</v>
      </c>
      <c r="C539" s="3">
        <v>96.83</v>
      </c>
    </row>
    <row r="540" spans="1:3" x14ac:dyDescent="0.45">
      <c r="A540" s="2">
        <v>40483</v>
      </c>
      <c r="B540" s="3">
        <v>2.7966101700000001</v>
      </c>
      <c r="C540" s="3">
        <v>97.04</v>
      </c>
    </row>
    <row r="541" spans="1:3" x14ac:dyDescent="0.45">
      <c r="A541" s="2">
        <v>40513</v>
      </c>
      <c r="B541" s="3">
        <v>3.06468717</v>
      </c>
      <c r="C541" s="3">
        <v>97.19</v>
      </c>
    </row>
    <row r="542" spans="1:3" x14ac:dyDescent="0.45">
      <c r="A542" s="2">
        <v>40544</v>
      </c>
      <c r="B542" s="3">
        <v>3.03669338</v>
      </c>
      <c r="C542" s="3">
        <v>97.72</v>
      </c>
    </row>
    <row r="543" spans="1:3" x14ac:dyDescent="0.45">
      <c r="A543" s="2">
        <v>40575</v>
      </c>
      <c r="B543" s="3">
        <v>2.8730208699999999</v>
      </c>
      <c r="C543" s="3">
        <v>98.11</v>
      </c>
    </row>
    <row r="544" spans="1:3" x14ac:dyDescent="0.45">
      <c r="A544" s="2">
        <v>40603</v>
      </c>
      <c r="B544" s="3">
        <v>3.1384036000000002</v>
      </c>
      <c r="C544" s="3">
        <v>98.59</v>
      </c>
    </row>
    <row r="545" spans="1:3" x14ac:dyDescent="0.45">
      <c r="A545" s="2">
        <v>40634</v>
      </c>
      <c r="B545" s="3">
        <v>4.0495523599999999</v>
      </c>
      <c r="C545" s="3">
        <v>99.95</v>
      </c>
    </row>
    <row r="546" spans="1:3" x14ac:dyDescent="0.45">
      <c r="A546" s="2">
        <v>40664</v>
      </c>
      <c r="B546" s="3">
        <v>4.1974026000000002</v>
      </c>
      <c r="C546" s="3">
        <v>100.29</v>
      </c>
    </row>
    <row r="547" spans="1:3" x14ac:dyDescent="0.45">
      <c r="A547" s="2">
        <v>40695</v>
      </c>
      <c r="B547" s="3">
        <v>4.0621761699999999</v>
      </c>
      <c r="C547" s="3">
        <v>100.42</v>
      </c>
    </row>
    <row r="548" spans="1:3" x14ac:dyDescent="0.45">
      <c r="A548" s="2">
        <v>40725</v>
      </c>
      <c r="B548" s="3">
        <v>4.08691154</v>
      </c>
      <c r="C548" s="3">
        <v>100.6</v>
      </c>
    </row>
    <row r="549" spans="1:3" x14ac:dyDescent="0.45">
      <c r="A549" s="2">
        <v>40756</v>
      </c>
      <c r="B549" s="3">
        <v>4.2939719199999997</v>
      </c>
      <c r="C549" s="3">
        <v>101.04</v>
      </c>
    </row>
    <row r="550" spans="1:3" x14ac:dyDescent="0.45">
      <c r="A550" s="2">
        <v>40787</v>
      </c>
      <c r="B550" s="3">
        <v>4.0181799399999996</v>
      </c>
      <c r="C550" s="3">
        <v>100.7</v>
      </c>
    </row>
    <row r="551" spans="1:3" x14ac:dyDescent="0.45">
      <c r="A551" s="2">
        <v>40817</v>
      </c>
      <c r="B551" s="3">
        <v>4.1929154200000003</v>
      </c>
      <c r="C551" s="3">
        <v>100.89</v>
      </c>
    </row>
    <row r="552" spans="1:3" x14ac:dyDescent="0.45">
      <c r="A552" s="2">
        <v>40848</v>
      </c>
      <c r="B552" s="3">
        <v>4.1941467399999999</v>
      </c>
      <c r="C552" s="3">
        <v>101.11</v>
      </c>
    </row>
    <row r="553" spans="1:3" x14ac:dyDescent="0.45">
      <c r="A553" s="2">
        <v>40878</v>
      </c>
      <c r="B553" s="3">
        <v>3.5291696699999999</v>
      </c>
      <c r="C553" s="3">
        <v>100.62</v>
      </c>
    </row>
    <row r="554" spans="1:3" x14ac:dyDescent="0.45">
      <c r="A554" s="2">
        <v>40909</v>
      </c>
      <c r="B554" s="3">
        <v>3.3769955</v>
      </c>
      <c r="C554" s="3">
        <v>101.02</v>
      </c>
    </row>
    <row r="555" spans="1:3" x14ac:dyDescent="0.45">
      <c r="A555" s="2">
        <v>40940</v>
      </c>
      <c r="B555" s="3">
        <v>3.3431862200000002</v>
      </c>
      <c r="C555" s="3">
        <v>101.39</v>
      </c>
    </row>
    <row r="556" spans="1:3" x14ac:dyDescent="0.45">
      <c r="A556" s="2">
        <v>40969</v>
      </c>
      <c r="B556" s="3">
        <v>3.4486256200000001</v>
      </c>
      <c r="C556" s="3">
        <v>101.99</v>
      </c>
    </row>
    <row r="557" spans="1:3" x14ac:dyDescent="0.45">
      <c r="A557" s="2">
        <v>41000</v>
      </c>
      <c r="B557" s="3">
        <v>2.4712356199999999</v>
      </c>
      <c r="C557" s="3">
        <v>102.42</v>
      </c>
    </row>
    <row r="558" spans="1:3" x14ac:dyDescent="0.45">
      <c r="A558" s="2">
        <v>41030</v>
      </c>
      <c r="B558" s="3">
        <v>2.5226842199999999</v>
      </c>
      <c r="C558" s="3">
        <v>102.82</v>
      </c>
    </row>
    <row r="559" spans="1:3" x14ac:dyDescent="0.45">
      <c r="A559" s="2">
        <v>41061</v>
      </c>
      <c r="B559" s="3">
        <v>2.5592511500000001</v>
      </c>
      <c r="C559" s="3">
        <v>102.99</v>
      </c>
    </row>
    <row r="560" spans="1:3" x14ac:dyDescent="0.45">
      <c r="A560" s="2">
        <v>41091</v>
      </c>
      <c r="B560" s="3">
        <v>2.7335984099999999</v>
      </c>
      <c r="C560" s="3">
        <v>103.35</v>
      </c>
    </row>
    <row r="561" spans="1:3" x14ac:dyDescent="0.45">
      <c r="A561" s="2">
        <v>41122</v>
      </c>
      <c r="B561" s="3">
        <v>2.69200317</v>
      </c>
      <c r="C561" s="3">
        <v>103.76</v>
      </c>
    </row>
    <row r="562" spans="1:3" x14ac:dyDescent="0.45">
      <c r="A562" s="2">
        <v>41153</v>
      </c>
      <c r="B562" s="3">
        <v>3.3763654399999998</v>
      </c>
      <c r="C562" s="3">
        <v>104.1</v>
      </c>
    </row>
    <row r="563" spans="1:3" x14ac:dyDescent="0.45">
      <c r="A563" s="2">
        <v>41183</v>
      </c>
      <c r="B563" s="3">
        <v>3.3204480099999998</v>
      </c>
      <c r="C563" s="3">
        <v>104.24</v>
      </c>
    </row>
    <row r="564" spans="1:3" x14ac:dyDescent="0.45">
      <c r="A564" s="2">
        <v>41214</v>
      </c>
      <c r="B564" s="3">
        <v>2.72970033</v>
      </c>
      <c r="C564" s="3">
        <v>103.87</v>
      </c>
    </row>
    <row r="565" spans="1:3" x14ac:dyDescent="0.45">
      <c r="A565" s="2">
        <v>41244</v>
      </c>
      <c r="B565" s="3">
        <v>3.6275094399999999</v>
      </c>
      <c r="C565" s="3">
        <v>104.27</v>
      </c>
    </row>
    <row r="566" spans="1:3" x14ac:dyDescent="0.45">
      <c r="A566" s="2">
        <v>41275</v>
      </c>
      <c r="B566" s="3">
        <v>3.3854682199999999</v>
      </c>
      <c r="C566" s="3">
        <v>104.44</v>
      </c>
    </row>
    <row r="567" spans="1:3" x14ac:dyDescent="0.45">
      <c r="A567" s="2">
        <v>41306</v>
      </c>
      <c r="B567" s="3">
        <v>3.2251701399999999</v>
      </c>
      <c r="C567" s="3">
        <v>104.66</v>
      </c>
    </row>
    <row r="568" spans="1:3" x14ac:dyDescent="0.45">
      <c r="A568" s="2">
        <v>41334</v>
      </c>
      <c r="B568" s="3">
        <v>2.6865378999999998</v>
      </c>
      <c r="C568" s="3">
        <v>104.73</v>
      </c>
    </row>
    <row r="569" spans="1:3" x14ac:dyDescent="0.45">
      <c r="A569" s="2">
        <v>41365</v>
      </c>
      <c r="B569" s="3">
        <v>2.4214020700000001</v>
      </c>
      <c r="C569" s="3">
        <v>104.9</v>
      </c>
    </row>
    <row r="570" spans="1:3" x14ac:dyDescent="0.45">
      <c r="A570" s="2">
        <v>41395</v>
      </c>
      <c r="B570" s="3">
        <v>2.26609609</v>
      </c>
      <c r="C570" s="3">
        <v>105.15</v>
      </c>
    </row>
    <row r="571" spans="1:3" x14ac:dyDescent="0.45">
      <c r="A571" s="2">
        <v>41426</v>
      </c>
      <c r="B571" s="3">
        <v>2.2526458900000002</v>
      </c>
      <c r="C571" s="3">
        <v>105.31</v>
      </c>
    </row>
    <row r="572" spans="1:3" x14ac:dyDescent="0.45">
      <c r="A572" s="2">
        <v>41456</v>
      </c>
      <c r="B572" s="3">
        <v>2.00290276</v>
      </c>
      <c r="C572" s="3">
        <v>105.42</v>
      </c>
    </row>
    <row r="573" spans="1:3" x14ac:dyDescent="0.45">
      <c r="A573" s="2">
        <v>41487</v>
      </c>
      <c r="B573" s="3">
        <v>1.5902081699999999</v>
      </c>
      <c r="C573" s="3">
        <v>105.41</v>
      </c>
    </row>
    <row r="574" spans="1:3" x14ac:dyDescent="0.45">
      <c r="A574" s="2">
        <v>41518</v>
      </c>
      <c r="B574" s="3">
        <v>1.42170989</v>
      </c>
      <c r="C574" s="3">
        <v>105.58</v>
      </c>
    </row>
    <row r="575" spans="1:3" x14ac:dyDescent="0.45">
      <c r="A575" s="2">
        <v>41548</v>
      </c>
      <c r="B575" s="3">
        <v>1.4581734500000001</v>
      </c>
      <c r="C575" s="3">
        <v>105.76</v>
      </c>
    </row>
    <row r="576" spans="1:3" x14ac:dyDescent="0.45">
      <c r="A576" s="2">
        <v>41579</v>
      </c>
      <c r="B576" s="3">
        <v>1.91585636</v>
      </c>
      <c r="C576" s="3">
        <v>105.86</v>
      </c>
    </row>
    <row r="577" spans="1:3" x14ac:dyDescent="0.45">
      <c r="A577" s="2">
        <v>41609</v>
      </c>
      <c r="B577" s="3">
        <v>1.6687446100000001</v>
      </c>
      <c r="C577" s="3">
        <v>106.01</v>
      </c>
    </row>
    <row r="578" spans="1:3" x14ac:dyDescent="0.45">
      <c r="A578" s="2">
        <v>41640</v>
      </c>
      <c r="B578" s="3">
        <v>1.9341248600000001</v>
      </c>
      <c r="C578" s="3">
        <v>106.46</v>
      </c>
    </row>
    <row r="579" spans="1:3" x14ac:dyDescent="0.45">
      <c r="A579" s="2">
        <v>41671</v>
      </c>
      <c r="B579" s="3">
        <v>1.9587234899999999</v>
      </c>
      <c r="C579" s="3">
        <v>106.71</v>
      </c>
    </row>
    <row r="580" spans="1:3" x14ac:dyDescent="0.45">
      <c r="A580" s="2">
        <v>41699</v>
      </c>
      <c r="B580" s="3">
        <v>2.1101880999999998</v>
      </c>
      <c r="C580" s="3">
        <v>106.94</v>
      </c>
    </row>
    <row r="581" spans="1:3" x14ac:dyDescent="0.45">
      <c r="A581" s="2">
        <v>41730</v>
      </c>
      <c r="B581" s="3">
        <v>2.4499523399999998</v>
      </c>
      <c r="C581" s="3">
        <v>107.47</v>
      </c>
    </row>
    <row r="582" spans="1:3" x14ac:dyDescent="0.45">
      <c r="A582" s="2">
        <v>41760</v>
      </c>
      <c r="B582" s="3">
        <v>2.61531146</v>
      </c>
      <c r="C582" s="3">
        <v>107.9</v>
      </c>
    </row>
    <row r="583" spans="1:3" x14ac:dyDescent="0.45">
      <c r="A583" s="2">
        <v>41791</v>
      </c>
      <c r="B583" s="3">
        <v>2.3549520500000001</v>
      </c>
      <c r="C583" s="3">
        <v>107.79</v>
      </c>
    </row>
    <row r="584" spans="1:3" x14ac:dyDescent="0.45">
      <c r="A584" s="2">
        <v>41821</v>
      </c>
      <c r="B584" s="3">
        <v>2.16277746</v>
      </c>
      <c r="C584" s="3">
        <v>107.7</v>
      </c>
    </row>
    <row r="585" spans="1:3" x14ac:dyDescent="0.45">
      <c r="A585" s="2">
        <v>41852</v>
      </c>
      <c r="B585" s="3">
        <v>2.0870885100000001</v>
      </c>
      <c r="C585" s="3">
        <v>107.61</v>
      </c>
    </row>
    <row r="586" spans="1:3" x14ac:dyDescent="0.45">
      <c r="A586" s="2">
        <v>41883</v>
      </c>
      <c r="B586" s="3">
        <v>1.7522257999999999</v>
      </c>
      <c r="C586" s="3">
        <v>107.43</v>
      </c>
    </row>
    <row r="587" spans="1:3" x14ac:dyDescent="0.45">
      <c r="A587" s="2">
        <v>41913</v>
      </c>
      <c r="B587" s="3">
        <v>1.4750378200000001</v>
      </c>
      <c r="C587" s="3">
        <v>107.32</v>
      </c>
    </row>
    <row r="588" spans="1:3" x14ac:dyDescent="0.45">
      <c r="A588" s="2">
        <v>41944</v>
      </c>
      <c r="B588" s="3">
        <v>1.25637635</v>
      </c>
      <c r="C588" s="3">
        <v>107.19</v>
      </c>
    </row>
    <row r="589" spans="1:3" x14ac:dyDescent="0.45">
      <c r="A589" s="2">
        <v>41974</v>
      </c>
      <c r="B589" s="3">
        <v>0.60371662999999998</v>
      </c>
      <c r="C589" s="3">
        <v>106.65</v>
      </c>
    </row>
    <row r="590" spans="1:3" x14ac:dyDescent="0.45">
      <c r="A590" s="2">
        <v>42005</v>
      </c>
      <c r="B590" s="3">
        <v>-0.41330076999999998</v>
      </c>
      <c r="C590" s="3">
        <v>106.02</v>
      </c>
    </row>
    <row r="591" spans="1:3" x14ac:dyDescent="0.45">
      <c r="A591" s="2">
        <v>42036</v>
      </c>
      <c r="B591" s="3">
        <v>-0.52478681000000005</v>
      </c>
      <c r="C591" s="3">
        <v>106.15</v>
      </c>
    </row>
    <row r="592" spans="1:3" x14ac:dyDescent="0.45">
      <c r="A592" s="2">
        <v>42064</v>
      </c>
      <c r="B592" s="3">
        <v>-0.57041332</v>
      </c>
      <c r="C592" s="3">
        <v>106.33</v>
      </c>
    </row>
    <row r="593" spans="1:3" x14ac:dyDescent="0.45">
      <c r="A593" s="2">
        <v>42095</v>
      </c>
      <c r="B593" s="3">
        <v>-1.0421513</v>
      </c>
      <c r="C593" s="3">
        <v>106.35</v>
      </c>
    </row>
    <row r="594" spans="1:3" x14ac:dyDescent="0.45">
      <c r="A594" s="2">
        <v>42125</v>
      </c>
      <c r="B594" s="3">
        <v>-1.26969416</v>
      </c>
      <c r="C594" s="3">
        <v>106.53</v>
      </c>
    </row>
    <row r="595" spans="1:3" x14ac:dyDescent="0.45">
      <c r="A595" s="2">
        <v>42156</v>
      </c>
      <c r="B595" s="3">
        <v>-1.06688932</v>
      </c>
      <c r="C595" s="3">
        <v>106.64</v>
      </c>
    </row>
    <row r="596" spans="1:3" x14ac:dyDescent="0.45">
      <c r="A596" s="2">
        <v>42186</v>
      </c>
      <c r="B596" s="3">
        <v>-1.04921077</v>
      </c>
      <c r="C596" s="3">
        <v>106.57</v>
      </c>
    </row>
    <row r="597" spans="1:3" x14ac:dyDescent="0.45">
      <c r="A597" s="2">
        <v>42217</v>
      </c>
      <c r="B597" s="3">
        <v>-1.18948053</v>
      </c>
      <c r="C597" s="3">
        <v>106.33</v>
      </c>
    </row>
    <row r="598" spans="1:3" x14ac:dyDescent="0.45">
      <c r="A598" s="2">
        <v>42248</v>
      </c>
      <c r="B598" s="3">
        <v>-1.07046449</v>
      </c>
      <c r="C598" s="3">
        <v>106.28</v>
      </c>
    </row>
    <row r="599" spans="1:3" x14ac:dyDescent="0.45">
      <c r="A599" s="2">
        <v>42278</v>
      </c>
      <c r="B599" s="3">
        <v>-0.77338799999999996</v>
      </c>
      <c r="C599" s="3">
        <v>106.49</v>
      </c>
    </row>
    <row r="600" spans="1:3" x14ac:dyDescent="0.45">
      <c r="A600" s="2">
        <v>42309</v>
      </c>
      <c r="B600" s="3">
        <v>-0.97023976000000001</v>
      </c>
      <c r="C600" s="3">
        <v>106.15</v>
      </c>
    </row>
    <row r="601" spans="1:3" x14ac:dyDescent="0.45">
      <c r="A601" s="2">
        <v>42339</v>
      </c>
      <c r="B601" s="3">
        <v>-0.85325832000000001</v>
      </c>
      <c r="C601" s="3">
        <v>105.74</v>
      </c>
    </row>
    <row r="602" spans="1:3" x14ac:dyDescent="0.45">
      <c r="A602" s="2">
        <v>42370</v>
      </c>
      <c r="B602" s="3">
        <v>-0.52820222999999999</v>
      </c>
      <c r="C602" s="3">
        <v>105.46</v>
      </c>
    </row>
    <row r="603" spans="1:3" x14ac:dyDescent="0.45">
      <c r="A603" s="2">
        <v>42401</v>
      </c>
      <c r="B603" s="3">
        <v>-0.49929345000000003</v>
      </c>
      <c r="C603" s="3">
        <v>105.62</v>
      </c>
    </row>
    <row r="604" spans="1:3" x14ac:dyDescent="0.45">
      <c r="A604" s="2">
        <v>42430</v>
      </c>
      <c r="B604" s="3">
        <v>-0.46082949000000001</v>
      </c>
      <c r="C604" s="3">
        <v>105.84</v>
      </c>
    </row>
    <row r="605" spans="1:3" x14ac:dyDescent="0.45">
      <c r="A605" s="2">
        <v>42461</v>
      </c>
      <c r="B605" s="3">
        <v>6.5820400000000001E-2</v>
      </c>
      <c r="C605" s="3">
        <v>106.42</v>
      </c>
    </row>
    <row r="606" spans="1:3" x14ac:dyDescent="0.45">
      <c r="A606" s="2">
        <v>42491</v>
      </c>
      <c r="B606" s="3">
        <v>0.45996432999999998</v>
      </c>
      <c r="C606" s="3">
        <v>107.02</v>
      </c>
    </row>
    <row r="607" spans="1:3" x14ac:dyDescent="0.45">
      <c r="A607" s="2">
        <v>42522</v>
      </c>
      <c r="B607" s="3">
        <v>0.38447112</v>
      </c>
      <c r="C607" s="3">
        <v>107.05</v>
      </c>
    </row>
    <row r="608" spans="1:3" x14ac:dyDescent="0.45">
      <c r="A608" s="2">
        <v>42552</v>
      </c>
      <c r="B608" s="3">
        <v>0.10321854</v>
      </c>
      <c r="C608" s="3">
        <v>106.68</v>
      </c>
    </row>
    <row r="609" spans="1:3" x14ac:dyDescent="0.45">
      <c r="A609" s="2">
        <v>42583</v>
      </c>
      <c r="B609" s="3">
        <v>0.29154519000000001</v>
      </c>
      <c r="C609" s="3">
        <v>106.64</v>
      </c>
    </row>
    <row r="610" spans="1:3" x14ac:dyDescent="0.45">
      <c r="A610" s="2">
        <v>42614</v>
      </c>
      <c r="B610" s="3">
        <v>0.37636431999999997</v>
      </c>
      <c r="C610" s="3">
        <v>106.68</v>
      </c>
    </row>
    <row r="611" spans="1:3" x14ac:dyDescent="0.45">
      <c r="A611" s="2">
        <v>42644</v>
      </c>
      <c r="B611" s="3">
        <v>0.33805991000000002</v>
      </c>
      <c r="C611" s="3">
        <v>106.85</v>
      </c>
    </row>
    <row r="612" spans="1:3" x14ac:dyDescent="0.45">
      <c r="A612" s="2">
        <v>42675</v>
      </c>
      <c r="B612" s="4">
        <v>0.60292040000000002</v>
      </c>
      <c r="C612" s="4">
        <v>106.79</v>
      </c>
    </row>
  </sheetData>
  <phoneticPr fontId="5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V33"/>
  <sheetViews>
    <sheetView tabSelected="1" workbookViewId="0">
      <pane ySplit="3" topLeftCell="A7" activePane="bottomLeft" state="frozen"/>
      <selection pane="bottomLeft" activeCell="D57" sqref="D57"/>
    </sheetView>
  </sheetViews>
  <sheetFormatPr defaultRowHeight="17" x14ac:dyDescent="0.45"/>
  <cols>
    <col min="1" max="1" width="10.83203125" customWidth="1"/>
    <col min="2" max="2" width="18.4140625" customWidth="1"/>
    <col min="3" max="6" width="15.1640625" customWidth="1"/>
    <col min="7" max="7" width="5.75" customWidth="1"/>
    <col min="8" max="15" width="14.58203125" customWidth="1"/>
  </cols>
  <sheetData>
    <row r="2" spans="1:22" ht="17.5" thickBot="1" x14ac:dyDescent="0.5">
      <c r="A2" s="9" t="s">
        <v>3</v>
      </c>
      <c r="B2" s="9"/>
      <c r="C2" s="9"/>
      <c r="D2" s="9"/>
      <c r="E2" s="9"/>
      <c r="F2" s="9"/>
      <c r="G2" s="7"/>
      <c r="H2" s="8" t="s">
        <v>34</v>
      </c>
      <c r="I2" s="8"/>
      <c r="J2" s="8"/>
      <c r="K2" s="8"/>
      <c r="L2" s="8"/>
      <c r="M2" s="8"/>
      <c r="N2" s="8"/>
      <c r="O2" s="8"/>
      <c r="Q2" s="6" t="s">
        <v>62</v>
      </c>
      <c r="R2" s="6"/>
      <c r="S2" s="6"/>
      <c r="T2" s="6" t="s">
        <v>69</v>
      </c>
      <c r="U2" s="6"/>
      <c r="V2" s="6"/>
    </row>
    <row r="3" spans="1:22" ht="17.5" thickBot="1" x14ac:dyDescent="0.5">
      <c r="A3" s="10" t="s">
        <v>4</v>
      </c>
      <c r="B3" s="10" t="s">
        <v>33</v>
      </c>
      <c r="C3" s="10" t="s">
        <v>21</v>
      </c>
      <c r="D3" s="10" t="s">
        <v>22</v>
      </c>
      <c r="E3" s="10" t="s">
        <v>23</v>
      </c>
      <c r="F3" s="10" t="s">
        <v>24</v>
      </c>
      <c r="G3" s="7"/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Q3" s="7" t="s">
        <v>63</v>
      </c>
      <c r="R3" s="7" t="s">
        <v>64</v>
      </c>
      <c r="S3" s="26" t="s">
        <v>65</v>
      </c>
      <c r="T3" s="7" t="s">
        <v>66</v>
      </c>
      <c r="U3" s="7" t="s">
        <v>67</v>
      </c>
      <c r="V3" s="7" t="s">
        <v>68</v>
      </c>
    </row>
    <row r="4" spans="1:22" x14ac:dyDescent="0.45">
      <c r="A4" s="11" t="s">
        <v>5</v>
      </c>
      <c r="B4" s="27">
        <v>1.6687446100000001</v>
      </c>
      <c r="C4" s="11"/>
      <c r="D4" s="11"/>
      <c r="E4" s="11"/>
      <c r="F4" s="11"/>
    </row>
    <row r="5" spans="1:22" x14ac:dyDescent="0.45">
      <c r="A5" s="11" t="s">
        <v>6</v>
      </c>
      <c r="B5" s="27">
        <v>1.9341248600000001</v>
      </c>
      <c r="C5" s="11">
        <v>1.84</v>
      </c>
      <c r="D5" s="28">
        <f>+B4</f>
        <v>1.6687446100000001</v>
      </c>
      <c r="E5" s="31">
        <f>+C5-B5</f>
        <v>-9.4124859999999977E-2</v>
      </c>
      <c r="F5" s="31">
        <f>+D5-B5</f>
        <v>-0.26538024999999998</v>
      </c>
      <c r="H5">
        <f>+E5^2</f>
        <v>8.8594892700195951E-3</v>
      </c>
      <c r="I5">
        <f>+F5^2</f>
        <v>7.0426677090062492E-2</v>
      </c>
      <c r="J5">
        <f>+ABS(E5)</f>
        <v>9.4124859999999977E-2</v>
      </c>
      <c r="K5">
        <f>+ABS(F5)</f>
        <v>0.26538024999999998</v>
      </c>
      <c r="L5">
        <f>+E5/B5*100</f>
        <v>-4.8665348316757573</v>
      </c>
      <c r="M5">
        <f>+F5/B5*100</f>
        <v>-13.720947157465313</v>
      </c>
      <c r="N5">
        <f>+ABS(L5)</f>
        <v>4.8665348316757573</v>
      </c>
      <c r="O5">
        <f>+ABS(M5)</f>
        <v>13.720947157465313</v>
      </c>
      <c r="Q5">
        <f>+B5^2</f>
        <v>3.7408389740700199</v>
      </c>
      <c r="R5">
        <f>+C5^2</f>
        <v>3.3856000000000002</v>
      </c>
      <c r="S5">
        <f>+D5^2</f>
        <v>2.7847085734040524</v>
      </c>
      <c r="T5">
        <f>+(E5/B4)^2</f>
        <v>3.1814780744505973E-3</v>
      </c>
      <c r="U5">
        <f>+(F5/B4)^2</f>
        <v>2.5290501764776162E-2</v>
      </c>
      <c r="V5">
        <f>+((B4-B5)/B4)^2</f>
        <v>2.5290501764776162E-2</v>
      </c>
    </row>
    <row r="6" spans="1:22" x14ac:dyDescent="0.45">
      <c r="A6" s="11" t="s">
        <v>7</v>
      </c>
      <c r="B6" s="27">
        <v>1.9587234899999999</v>
      </c>
      <c r="C6" s="11">
        <v>1.92</v>
      </c>
      <c r="D6" s="28">
        <f t="shared" ref="D6:D16" si="0">+B5</f>
        <v>1.9341248600000001</v>
      </c>
      <c r="E6" s="31">
        <f t="shared" ref="E6:E16" si="1">+C6-B6</f>
        <v>-3.8723489999999972E-2</v>
      </c>
      <c r="F6" s="31">
        <f t="shared" ref="F6:F16" si="2">+D6-B6</f>
        <v>-2.4598629999999844E-2</v>
      </c>
      <c r="H6">
        <f t="shared" ref="H6:I16" si="3">+E6^2</f>
        <v>1.4995086777800978E-3</v>
      </c>
      <c r="I6">
        <f t="shared" si="3"/>
        <v>6.0509259787689231E-4</v>
      </c>
      <c r="J6">
        <f t="shared" ref="J6:K16" si="4">+ABS(E6)</f>
        <v>3.8723489999999972E-2</v>
      </c>
      <c r="K6">
        <f t="shared" si="4"/>
        <v>2.4598629999999844E-2</v>
      </c>
      <c r="L6">
        <f t="shared" ref="L6:L16" si="5">+E6/B6*100</f>
        <v>-1.9769758313359469</v>
      </c>
      <c r="M6">
        <f t="shared" ref="M6:M16" si="6">+F6/B6*100</f>
        <v>-1.2558500536489632</v>
      </c>
      <c r="N6">
        <f t="shared" ref="N6:O16" si="7">+ABS(L6)</f>
        <v>1.9769758313359469</v>
      </c>
      <c r="O6">
        <f t="shared" si="7"/>
        <v>1.2558500536489632</v>
      </c>
      <c r="Q6">
        <f t="shared" ref="Q6:R16" si="8">+B6^2</f>
        <v>3.8365977102777795</v>
      </c>
      <c r="R6">
        <f t="shared" si="8"/>
        <v>3.6863999999999999</v>
      </c>
      <c r="S6">
        <f t="shared" ref="S6:S16" si="9">+D6^2</f>
        <v>3.7408389740700199</v>
      </c>
      <c r="T6">
        <f t="shared" ref="T6:T16" si="10">+(E6/B5)^2</f>
        <v>4.0084822901335362E-4</v>
      </c>
      <c r="U6">
        <f t="shared" ref="U6:U16" si="11">+(F6/B5)^2</f>
        <v>1.6175317945283106E-4</v>
      </c>
      <c r="V6">
        <f t="shared" ref="V6:V16" si="12">+((B5-B6)/B5)^2</f>
        <v>1.6175317945283106E-4</v>
      </c>
    </row>
    <row r="7" spans="1:22" x14ac:dyDescent="0.45">
      <c r="A7" s="11" t="s">
        <v>8</v>
      </c>
      <c r="B7" s="27">
        <v>2.1101880999999998</v>
      </c>
      <c r="C7" s="11">
        <v>1.96</v>
      </c>
      <c r="D7" s="28">
        <f t="shared" si="0"/>
        <v>1.9587234899999999</v>
      </c>
      <c r="E7" s="31">
        <f t="shared" si="1"/>
        <v>-0.15018809999999982</v>
      </c>
      <c r="F7" s="31">
        <f t="shared" si="2"/>
        <v>-0.15146460999999989</v>
      </c>
      <c r="H7">
        <f t="shared" si="3"/>
        <v>2.2556465381609946E-2</v>
      </c>
      <c r="I7">
        <f t="shared" si="3"/>
        <v>2.2941528082452065E-2</v>
      </c>
      <c r="J7">
        <f t="shared" si="4"/>
        <v>0.15018809999999982</v>
      </c>
      <c r="K7">
        <f t="shared" si="4"/>
        <v>0.15146460999999989</v>
      </c>
      <c r="L7">
        <f t="shared" si="5"/>
        <v>-7.1172849472518509</v>
      </c>
      <c r="M7">
        <f t="shared" si="6"/>
        <v>-7.1777776587783766</v>
      </c>
      <c r="N7">
        <f t="shared" si="7"/>
        <v>7.1172849472518509</v>
      </c>
      <c r="O7">
        <f t="shared" si="7"/>
        <v>7.1777776587783766</v>
      </c>
      <c r="Q7">
        <f t="shared" si="8"/>
        <v>4.4528938173816091</v>
      </c>
      <c r="R7">
        <f t="shared" si="8"/>
        <v>3.8415999999999997</v>
      </c>
      <c r="S7">
        <f t="shared" si="9"/>
        <v>3.8365977102777795</v>
      </c>
      <c r="T7">
        <f t="shared" si="10"/>
        <v>5.879288652334831E-3</v>
      </c>
      <c r="U7">
        <f t="shared" si="11"/>
        <v>5.9796543226292662E-3</v>
      </c>
      <c r="V7">
        <f t="shared" si="12"/>
        <v>5.9796543226292662E-3</v>
      </c>
    </row>
    <row r="8" spans="1:22" x14ac:dyDescent="0.45">
      <c r="A8" s="11" t="s">
        <v>9</v>
      </c>
      <c r="B8" s="27">
        <v>2.4499523399999998</v>
      </c>
      <c r="C8" s="11">
        <v>2.31</v>
      </c>
      <c r="D8" s="28">
        <f t="shared" si="0"/>
        <v>2.1101880999999998</v>
      </c>
      <c r="E8" s="31">
        <f t="shared" si="1"/>
        <v>-0.13995233999999979</v>
      </c>
      <c r="F8" s="31">
        <f t="shared" si="2"/>
        <v>-0.33976424000000005</v>
      </c>
      <c r="H8">
        <f t="shared" si="3"/>
        <v>1.958665747147554E-2</v>
      </c>
      <c r="I8">
        <f t="shared" si="3"/>
        <v>0.11543973878277763</v>
      </c>
      <c r="J8">
        <f t="shared" si="4"/>
        <v>0.13995233999999979</v>
      </c>
      <c r="K8">
        <f t="shared" si="4"/>
        <v>0.33976424000000005</v>
      </c>
      <c r="L8">
        <f t="shared" si="5"/>
        <v>-5.7124515328326675</v>
      </c>
      <c r="M8">
        <f t="shared" si="6"/>
        <v>-13.868197942168953</v>
      </c>
      <c r="N8">
        <f t="shared" si="7"/>
        <v>5.7124515328326675</v>
      </c>
      <c r="O8">
        <f t="shared" si="7"/>
        <v>13.868197942168953</v>
      </c>
      <c r="Q8">
        <f t="shared" si="8"/>
        <v>6.0022664682714746</v>
      </c>
      <c r="R8">
        <f t="shared" si="8"/>
        <v>5.3361000000000001</v>
      </c>
      <c r="S8">
        <f t="shared" si="9"/>
        <v>4.4528938173816091</v>
      </c>
      <c r="T8">
        <f t="shared" si="10"/>
        <v>4.3986356456603955E-3</v>
      </c>
      <c r="U8">
        <f t="shared" si="11"/>
        <v>2.5924655632291391E-2</v>
      </c>
      <c r="V8">
        <f t="shared" si="12"/>
        <v>2.5924655632291391E-2</v>
      </c>
    </row>
    <row r="9" spans="1:22" x14ac:dyDescent="0.45">
      <c r="A9" s="11" t="s">
        <v>10</v>
      </c>
      <c r="B9" s="27">
        <v>2.61531146</v>
      </c>
      <c r="C9" s="11">
        <v>3.61</v>
      </c>
      <c r="D9" s="28">
        <f t="shared" si="0"/>
        <v>2.4499523399999998</v>
      </c>
      <c r="E9" s="31">
        <f t="shared" si="1"/>
        <v>0.99468853999999984</v>
      </c>
      <c r="F9" s="31">
        <f t="shared" si="2"/>
        <v>-0.16535912000000019</v>
      </c>
      <c r="H9">
        <f t="shared" si="3"/>
        <v>0.98940529160733126</v>
      </c>
      <c r="I9">
        <f t="shared" si="3"/>
        <v>2.7343638567174464E-2</v>
      </c>
      <c r="J9">
        <f t="shared" si="4"/>
        <v>0.99468853999999984</v>
      </c>
      <c r="K9">
        <f t="shared" si="4"/>
        <v>0.16535912000000019</v>
      </c>
      <c r="L9">
        <f t="shared" si="5"/>
        <v>38.033272717735876</v>
      </c>
      <c r="M9">
        <f t="shared" si="6"/>
        <v>-6.3227314424722554</v>
      </c>
      <c r="N9">
        <f t="shared" si="7"/>
        <v>38.033272717735876</v>
      </c>
      <c r="O9">
        <f t="shared" si="7"/>
        <v>6.3227314424722554</v>
      </c>
      <c r="Q9">
        <f t="shared" si="8"/>
        <v>6.8398540328073318</v>
      </c>
      <c r="R9">
        <f t="shared" si="8"/>
        <v>13.0321</v>
      </c>
      <c r="S9">
        <f t="shared" si="9"/>
        <v>6.0022664682714746</v>
      </c>
      <c r="T9">
        <f t="shared" si="10"/>
        <v>0.16483861501941266</v>
      </c>
      <c r="U9">
        <f t="shared" si="11"/>
        <v>4.5555522587534918E-3</v>
      </c>
      <c r="V9">
        <f t="shared" si="12"/>
        <v>4.5555522587534918E-3</v>
      </c>
    </row>
    <row r="10" spans="1:22" x14ac:dyDescent="0.45">
      <c r="A10" s="11" t="s">
        <v>11</v>
      </c>
      <c r="B10" s="27">
        <v>2.3549520500000001</v>
      </c>
      <c r="C10" s="11">
        <v>2.4500000000000002</v>
      </c>
      <c r="D10" s="28">
        <f t="shared" si="0"/>
        <v>2.61531146</v>
      </c>
      <c r="E10" s="31">
        <f t="shared" si="1"/>
        <v>9.5047950000000103E-2</v>
      </c>
      <c r="F10" s="31">
        <f t="shared" si="2"/>
        <v>0.26035940999999996</v>
      </c>
      <c r="H10">
        <f t="shared" si="3"/>
        <v>9.0341127992025188E-3</v>
      </c>
      <c r="I10">
        <f t="shared" si="3"/>
        <v>6.7787022375548081E-2</v>
      </c>
      <c r="J10">
        <f t="shared" si="4"/>
        <v>9.5047950000000103E-2</v>
      </c>
      <c r="K10">
        <f t="shared" si="4"/>
        <v>0.26035940999999996</v>
      </c>
      <c r="L10">
        <f t="shared" si="5"/>
        <v>4.0360885479600359</v>
      </c>
      <c r="M10">
        <f t="shared" si="6"/>
        <v>11.055826380838623</v>
      </c>
      <c r="N10">
        <f t="shared" si="7"/>
        <v>4.0360885479600359</v>
      </c>
      <c r="O10">
        <f t="shared" si="7"/>
        <v>11.055826380838623</v>
      </c>
      <c r="Q10">
        <f t="shared" si="8"/>
        <v>5.5457991577992027</v>
      </c>
      <c r="R10">
        <f t="shared" si="8"/>
        <v>6.0025000000000013</v>
      </c>
      <c r="S10">
        <f t="shared" si="9"/>
        <v>6.8398540328073318</v>
      </c>
      <c r="T10">
        <f t="shared" si="10"/>
        <v>1.3208049113139601E-3</v>
      </c>
      <c r="U10">
        <f t="shared" si="11"/>
        <v>9.9105948826404625E-3</v>
      </c>
      <c r="V10">
        <f t="shared" si="12"/>
        <v>9.9105948826404625E-3</v>
      </c>
    </row>
    <row r="11" spans="1:22" x14ac:dyDescent="0.45">
      <c r="A11" s="11" t="s">
        <v>12</v>
      </c>
      <c r="B11" s="27">
        <v>2.16277746</v>
      </c>
      <c r="C11" s="11">
        <v>2.0099999999999998</v>
      </c>
      <c r="D11" s="28">
        <f t="shared" si="0"/>
        <v>2.3549520500000001</v>
      </c>
      <c r="E11" s="31">
        <f t="shared" si="1"/>
        <v>-0.15277746000000025</v>
      </c>
      <c r="F11" s="31">
        <f t="shared" si="2"/>
        <v>0.19217459000000003</v>
      </c>
      <c r="H11">
        <f t="shared" si="3"/>
        <v>2.3340952284051676E-2</v>
      </c>
      <c r="I11">
        <f t="shared" si="3"/>
        <v>3.6931073041668115E-2</v>
      </c>
      <c r="J11">
        <f t="shared" si="4"/>
        <v>0.15277746000000025</v>
      </c>
      <c r="K11">
        <f t="shared" si="4"/>
        <v>0.19217459000000003</v>
      </c>
      <c r="L11">
        <f t="shared" si="5"/>
        <v>-7.0639473004310043</v>
      </c>
      <c r="M11">
        <f t="shared" si="6"/>
        <v>8.8855461809741652</v>
      </c>
      <c r="N11">
        <f t="shared" si="7"/>
        <v>7.0639473004310043</v>
      </c>
      <c r="O11">
        <f t="shared" si="7"/>
        <v>8.8855461809741652</v>
      </c>
      <c r="Q11">
        <f t="shared" si="8"/>
        <v>4.6776063414840516</v>
      </c>
      <c r="R11">
        <f t="shared" si="8"/>
        <v>4.0400999999999989</v>
      </c>
      <c r="S11">
        <f t="shared" si="9"/>
        <v>5.5457991577992027</v>
      </c>
      <c r="T11">
        <f t="shared" si="10"/>
        <v>4.2087626363509186E-3</v>
      </c>
      <c r="U11">
        <f t="shared" si="11"/>
        <v>6.6592878665162215E-3</v>
      </c>
      <c r="V11">
        <f t="shared" si="12"/>
        <v>6.6592878665162215E-3</v>
      </c>
    </row>
    <row r="12" spans="1:22" x14ac:dyDescent="0.45">
      <c r="A12" s="11" t="s">
        <v>13</v>
      </c>
      <c r="B12" s="27">
        <v>2.0870885100000001</v>
      </c>
      <c r="C12" s="11">
        <v>1.99</v>
      </c>
      <c r="D12" s="28">
        <f t="shared" si="0"/>
        <v>2.16277746</v>
      </c>
      <c r="E12" s="31">
        <f t="shared" si="1"/>
        <v>-9.7088510000000072E-2</v>
      </c>
      <c r="F12" s="31">
        <f t="shared" si="2"/>
        <v>7.5688949999999977E-2</v>
      </c>
      <c r="H12">
        <f t="shared" si="3"/>
        <v>9.426178774020114E-3</v>
      </c>
      <c r="I12">
        <f t="shared" si="3"/>
        <v>5.7288171521024962E-3</v>
      </c>
      <c r="J12">
        <f t="shared" si="4"/>
        <v>9.7088510000000072E-2</v>
      </c>
      <c r="K12">
        <f t="shared" si="4"/>
        <v>7.5688949999999977E-2</v>
      </c>
      <c r="L12">
        <f t="shared" si="5"/>
        <v>-4.6518635666294799</v>
      </c>
      <c r="M12">
        <f t="shared" si="6"/>
        <v>3.6265328296977679</v>
      </c>
      <c r="N12">
        <f t="shared" si="7"/>
        <v>4.6518635666294799</v>
      </c>
      <c r="O12">
        <f t="shared" si="7"/>
        <v>3.6265328296977679</v>
      </c>
      <c r="Q12">
        <f t="shared" si="8"/>
        <v>4.3559384485740207</v>
      </c>
      <c r="R12">
        <f t="shared" si="8"/>
        <v>3.9601000000000002</v>
      </c>
      <c r="S12">
        <f t="shared" si="9"/>
        <v>4.6776063414840516</v>
      </c>
      <c r="T12">
        <f t="shared" si="10"/>
        <v>2.0151714543446371E-3</v>
      </c>
      <c r="U12">
        <f t="shared" si="11"/>
        <v>1.224732637566275E-3</v>
      </c>
      <c r="V12">
        <f t="shared" si="12"/>
        <v>1.224732637566275E-3</v>
      </c>
    </row>
    <row r="13" spans="1:22" x14ac:dyDescent="0.45">
      <c r="A13" s="11" t="s">
        <v>14</v>
      </c>
      <c r="B13" s="27">
        <v>1.7522257999999999</v>
      </c>
      <c r="C13" s="11">
        <v>1.81</v>
      </c>
      <c r="D13" s="28">
        <f t="shared" si="0"/>
        <v>2.0870885100000001</v>
      </c>
      <c r="E13" s="31">
        <f t="shared" si="1"/>
        <v>5.7774200000000109E-2</v>
      </c>
      <c r="F13" s="31">
        <f t="shared" si="2"/>
        <v>0.33486271000000012</v>
      </c>
      <c r="H13">
        <f t="shared" si="3"/>
        <v>3.3378581856400124E-3</v>
      </c>
      <c r="I13">
        <f t="shared" si="3"/>
        <v>0.11213303454854417</v>
      </c>
      <c r="J13">
        <f t="shared" si="4"/>
        <v>5.7774200000000109E-2</v>
      </c>
      <c r="K13">
        <f t="shared" si="4"/>
        <v>0.33486271000000012</v>
      </c>
      <c r="L13">
        <f t="shared" si="5"/>
        <v>3.2971892092902704</v>
      </c>
      <c r="M13">
        <f t="shared" si="6"/>
        <v>19.110705366853985</v>
      </c>
      <c r="N13">
        <f t="shared" si="7"/>
        <v>3.2971892092902704</v>
      </c>
      <c r="O13">
        <f t="shared" si="7"/>
        <v>19.110705366853985</v>
      </c>
      <c r="Q13">
        <f t="shared" si="8"/>
        <v>3.0702952541856399</v>
      </c>
      <c r="R13">
        <f t="shared" si="8"/>
        <v>3.2761</v>
      </c>
      <c r="S13">
        <f t="shared" si="9"/>
        <v>4.3559384485740207</v>
      </c>
      <c r="T13">
        <f t="shared" si="10"/>
        <v>7.6627762881560212E-4</v>
      </c>
      <c r="U13">
        <f t="shared" si="11"/>
        <v>2.5742566354502224E-2</v>
      </c>
      <c r="V13">
        <f t="shared" si="12"/>
        <v>2.5742566354502224E-2</v>
      </c>
    </row>
    <row r="14" spans="1:22" x14ac:dyDescent="0.45">
      <c r="A14" s="11" t="s">
        <v>15</v>
      </c>
      <c r="B14" s="27">
        <v>1.4750378200000001</v>
      </c>
      <c r="C14" s="11">
        <v>1.65</v>
      </c>
      <c r="D14" s="28">
        <f t="shared" si="0"/>
        <v>1.7522257999999999</v>
      </c>
      <c r="E14" s="31">
        <f t="shared" si="1"/>
        <v>0.17496217999999986</v>
      </c>
      <c r="F14" s="31">
        <f t="shared" si="2"/>
        <v>0.27718797999999989</v>
      </c>
      <c r="H14">
        <f t="shared" si="3"/>
        <v>3.0611764430352351E-2</v>
      </c>
      <c r="I14">
        <f t="shared" si="3"/>
        <v>7.683317625648034E-2</v>
      </c>
      <c r="J14">
        <f t="shared" si="4"/>
        <v>0.17496217999999986</v>
      </c>
      <c r="K14">
        <f t="shared" si="4"/>
        <v>0.27718797999999989</v>
      </c>
      <c r="L14">
        <f t="shared" si="5"/>
        <v>11.861538573973638</v>
      </c>
      <c r="M14">
        <f t="shared" si="6"/>
        <v>18.791923586067771</v>
      </c>
      <c r="N14">
        <f t="shared" si="7"/>
        <v>11.861538573973638</v>
      </c>
      <c r="O14">
        <f t="shared" si="7"/>
        <v>18.791923586067771</v>
      </c>
      <c r="Q14">
        <f t="shared" si="8"/>
        <v>2.1757365704303524</v>
      </c>
      <c r="R14">
        <f t="shared" si="8"/>
        <v>2.7224999999999997</v>
      </c>
      <c r="S14">
        <f t="shared" si="9"/>
        <v>3.0702952541856399</v>
      </c>
      <c r="T14">
        <f t="shared" si="10"/>
        <v>9.9702998884619535E-3</v>
      </c>
      <c r="U14">
        <f t="shared" si="11"/>
        <v>2.5024686518905964E-2</v>
      </c>
      <c r="V14">
        <f t="shared" si="12"/>
        <v>2.5024686518905964E-2</v>
      </c>
    </row>
    <row r="15" spans="1:22" x14ac:dyDescent="0.45">
      <c r="A15" s="11" t="s">
        <v>16</v>
      </c>
      <c r="B15" s="27">
        <v>1.25637635</v>
      </c>
      <c r="C15" s="11">
        <v>1.21</v>
      </c>
      <c r="D15" s="28">
        <f t="shared" si="0"/>
        <v>1.4750378200000001</v>
      </c>
      <c r="E15" s="31">
        <f t="shared" si="1"/>
        <v>-4.6376350000000066E-2</v>
      </c>
      <c r="F15" s="31">
        <f t="shared" si="2"/>
        <v>0.21866147000000002</v>
      </c>
      <c r="H15">
        <f t="shared" si="3"/>
        <v>2.1507658393225063E-3</v>
      </c>
      <c r="I15">
        <f t="shared" si="3"/>
        <v>4.781283846256091E-2</v>
      </c>
      <c r="J15">
        <f t="shared" si="4"/>
        <v>4.6376350000000066E-2</v>
      </c>
      <c r="K15">
        <f t="shared" si="4"/>
        <v>0.21866147000000002</v>
      </c>
      <c r="L15">
        <f t="shared" si="5"/>
        <v>-3.6912784931044005</v>
      </c>
      <c r="M15">
        <f t="shared" si="6"/>
        <v>17.404137701254886</v>
      </c>
      <c r="N15">
        <f t="shared" si="7"/>
        <v>3.6912784931044005</v>
      </c>
      <c r="O15">
        <f t="shared" si="7"/>
        <v>17.404137701254886</v>
      </c>
      <c r="Q15">
        <f t="shared" si="8"/>
        <v>1.5784815328393227</v>
      </c>
      <c r="R15">
        <f t="shared" si="8"/>
        <v>1.4641</v>
      </c>
      <c r="S15">
        <f t="shared" si="9"/>
        <v>2.1757365704303524</v>
      </c>
      <c r="T15">
        <f t="shared" si="10"/>
        <v>9.8852309077890462E-4</v>
      </c>
      <c r="U15">
        <f t="shared" si="11"/>
        <v>2.1975472174512244E-2</v>
      </c>
      <c r="V15">
        <f t="shared" si="12"/>
        <v>2.1975472174512244E-2</v>
      </c>
    </row>
    <row r="16" spans="1:22" ht="17.5" thickBot="1" x14ac:dyDescent="0.5">
      <c r="A16" s="12" t="s">
        <v>17</v>
      </c>
      <c r="B16" s="29">
        <v>0.60371662999999998</v>
      </c>
      <c r="C16" s="12">
        <v>1.1299999999999999</v>
      </c>
      <c r="D16" s="30">
        <f t="shared" si="0"/>
        <v>1.25637635</v>
      </c>
      <c r="E16" s="32">
        <f t="shared" si="1"/>
        <v>0.52628336999999992</v>
      </c>
      <c r="F16" s="31">
        <f t="shared" si="2"/>
        <v>0.65265972000000005</v>
      </c>
      <c r="H16" s="6">
        <f t="shared" si="3"/>
        <v>0.27697418553855679</v>
      </c>
      <c r="I16">
        <f t="shared" si="3"/>
        <v>0.42596471011047848</v>
      </c>
      <c r="J16" s="6">
        <f t="shared" si="4"/>
        <v>0.52628336999999992</v>
      </c>
      <c r="K16">
        <f t="shared" si="4"/>
        <v>0.65265972000000005</v>
      </c>
      <c r="L16" s="6">
        <f t="shared" si="5"/>
        <v>87.173906407050595</v>
      </c>
      <c r="M16">
        <f t="shared" si="6"/>
        <v>108.10696402383351</v>
      </c>
      <c r="N16" s="6">
        <f t="shared" si="7"/>
        <v>87.173906407050595</v>
      </c>
      <c r="O16">
        <f t="shared" si="7"/>
        <v>108.10696402383351</v>
      </c>
      <c r="Q16">
        <f t="shared" si="8"/>
        <v>0.36447376933855685</v>
      </c>
      <c r="R16">
        <f t="shared" si="8"/>
        <v>1.2768999999999997</v>
      </c>
      <c r="S16">
        <f t="shared" si="9"/>
        <v>1.5784815328393227</v>
      </c>
      <c r="T16">
        <f t="shared" si="10"/>
        <v>0.17546875258042735</v>
      </c>
      <c r="U16">
        <f t="shared" si="11"/>
        <v>0.26985726551026967</v>
      </c>
      <c r="V16">
        <f t="shared" si="12"/>
        <v>0.26985726551026967</v>
      </c>
    </row>
    <row r="17" spans="1:22" x14ac:dyDescent="0.45">
      <c r="A17" s="11" t="s">
        <v>18</v>
      </c>
      <c r="B17" s="13">
        <f>+AVERAGE(B4:B16)</f>
        <v>1.8791707292307693</v>
      </c>
      <c r="C17" s="13">
        <f>+AVERAGE(C5:C16)</f>
        <v>1.990833333333333</v>
      </c>
      <c r="D17" s="13">
        <f>+AVERAGE(D6:D16)</f>
        <v>2.0142507490909094</v>
      </c>
      <c r="E17" s="11"/>
      <c r="F17" s="11"/>
      <c r="H17" s="5">
        <f t="shared" ref="H17:O17" si="13">+AVERAGE(H5:H16)</f>
        <v>0.11639860252161353</v>
      </c>
      <c r="I17" s="5">
        <f t="shared" si="13"/>
        <v>8.4162278922310499E-2</v>
      </c>
      <c r="J17" s="5">
        <f t="shared" si="13"/>
        <v>0.21399894583333331</v>
      </c>
      <c r="K17" s="5">
        <f t="shared" si="13"/>
        <v>0.24651347333333332</v>
      </c>
      <c r="L17" s="5">
        <f t="shared" si="13"/>
        <v>9.1101382460624425</v>
      </c>
      <c r="M17" s="5">
        <f t="shared" si="13"/>
        <v>12.053010984582238</v>
      </c>
      <c r="N17" s="5">
        <f t="shared" si="13"/>
        <v>14.956860996605961</v>
      </c>
      <c r="O17" s="5">
        <f t="shared" si="13"/>
        <v>19.110595027004546</v>
      </c>
      <c r="Q17" s="5">
        <f t="shared" ref="Q17:V17" si="14">+AVERAGE(Q5:Q16)</f>
        <v>3.8867318397882804</v>
      </c>
      <c r="R17" s="5">
        <f t="shared" si="14"/>
        <v>4.3353416666666655</v>
      </c>
      <c r="S17" s="5">
        <f t="shared" si="14"/>
        <v>4.0884180734604039</v>
      </c>
      <c r="T17" s="5">
        <f t="shared" si="14"/>
        <v>3.1119788150947097E-2</v>
      </c>
      <c r="U17" s="5">
        <f t="shared" si="14"/>
        <v>3.5192226925234681E-2</v>
      </c>
      <c r="V17" s="5">
        <f t="shared" si="14"/>
        <v>3.5192226925234681E-2</v>
      </c>
    </row>
    <row r="18" spans="1:22" x14ac:dyDescent="0.45">
      <c r="A18" s="11" t="s">
        <v>19</v>
      </c>
      <c r="B18" s="13">
        <f>+STDEV(B4:B16)</f>
        <v>0.54151150080840782</v>
      </c>
      <c r="C18" s="13">
        <f>+STDEVP(C5:C16)</f>
        <v>0.60985597115676116</v>
      </c>
      <c r="D18" s="13">
        <f>+STDEVP(D5:D16)</f>
        <v>0.38258637843611504</v>
      </c>
      <c r="E18" s="11"/>
      <c r="F18" s="11"/>
    </row>
    <row r="19" spans="1:22" ht="17.5" thickBot="1" x14ac:dyDescent="0.5">
      <c r="A19" s="12" t="s">
        <v>20</v>
      </c>
      <c r="B19" s="12"/>
      <c r="C19" s="14">
        <f>+CORREL(B5:B16,C5:C16)</f>
        <v>0.84397509275281246</v>
      </c>
      <c r="D19" s="14">
        <f>+CORREL(B5:B16,D5:D16)</f>
        <v>0.87317234663873322</v>
      </c>
      <c r="E19" s="12"/>
      <c r="F19" s="12"/>
    </row>
    <row r="21" spans="1:22" ht="17.5" thickBot="1" x14ac:dyDescent="0.5">
      <c r="A21" s="16" t="s">
        <v>35</v>
      </c>
      <c r="B21" s="16"/>
      <c r="C21" s="16"/>
      <c r="D21" s="16" t="s">
        <v>59</v>
      </c>
      <c r="E21" s="16" t="s">
        <v>60</v>
      </c>
      <c r="H21" s="12" t="s">
        <v>44</v>
      </c>
      <c r="I21" s="12"/>
      <c r="J21" s="12"/>
      <c r="K21" s="12"/>
      <c r="L21" s="12"/>
      <c r="M21" s="12"/>
    </row>
    <row r="22" spans="1:22" x14ac:dyDescent="0.45">
      <c r="A22" s="17" t="s">
        <v>36</v>
      </c>
      <c r="B22" s="17"/>
      <c r="C22" s="17"/>
      <c r="D22" s="20">
        <f>+AVERAGE(E5:E16)</f>
        <v>9.4127094166666647E-2</v>
      </c>
      <c r="E22" s="20">
        <f>+AVERAGE(F5:F16)</f>
        <v>8.875233166666667E-2</v>
      </c>
      <c r="H22" s="15" t="s">
        <v>45</v>
      </c>
      <c r="I22" s="11" t="s">
        <v>46</v>
      </c>
      <c r="J22" s="11"/>
      <c r="K22" s="11"/>
      <c r="L22" s="11"/>
      <c r="M22" s="11"/>
    </row>
    <row r="23" spans="1:22" x14ac:dyDescent="0.45">
      <c r="A23" s="11" t="s">
        <v>37</v>
      </c>
      <c r="B23" s="11"/>
      <c r="C23" s="11"/>
      <c r="D23" s="21">
        <f>+H17</f>
        <v>0.11639860252161353</v>
      </c>
      <c r="E23" s="21">
        <f>+I17</f>
        <v>8.4162278922310499E-2</v>
      </c>
      <c r="H23" s="11" t="s">
        <v>47</v>
      </c>
      <c r="I23" s="11" t="s">
        <v>48</v>
      </c>
      <c r="J23" s="11"/>
      <c r="K23" s="11"/>
      <c r="L23" s="11"/>
      <c r="M23" s="11"/>
    </row>
    <row r="24" spans="1:22" x14ac:dyDescent="0.45">
      <c r="A24" s="23" t="s">
        <v>61</v>
      </c>
      <c r="B24" s="23"/>
      <c r="D24" s="22">
        <f>+SQRT(D23)</f>
        <v>0.34117239413764638</v>
      </c>
      <c r="E24" s="22">
        <f>+SQRT(E23)</f>
        <v>0.29010735758044898</v>
      </c>
      <c r="H24" s="11" t="s">
        <v>49</v>
      </c>
      <c r="I24" s="11" t="s">
        <v>50</v>
      </c>
      <c r="J24" s="11"/>
      <c r="K24" s="11"/>
      <c r="L24" s="11"/>
      <c r="M24" s="11"/>
    </row>
    <row r="25" spans="1:22" x14ac:dyDescent="0.45">
      <c r="A25" s="18" t="s">
        <v>38</v>
      </c>
      <c r="B25" s="11"/>
      <c r="C25" s="11"/>
      <c r="D25" s="21">
        <f>+SQRT(D23-D22^2)</f>
        <v>0.3279309266680302</v>
      </c>
      <c r="E25" s="21">
        <f>+SQRT(E23-E22^2)</f>
        <v>0.27619794087943611</v>
      </c>
      <c r="H25" s="11" t="s">
        <v>51</v>
      </c>
      <c r="I25" s="11" t="s">
        <v>52</v>
      </c>
      <c r="J25" s="11"/>
      <c r="K25" s="11"/>
      <c r="L25" s="11"/>
      <c r="M25" s="11"/>
    </row>
    <row r="26" spans="1:22" x14ac:dyDescent="0.45">
      <c r="A26" s="24" t="s">
        <v>39</v>
      </c>
      <c r="B26" s="23"/>
      <c r="D26" s="22">
        <f>+J17</f>
        <v>0.21399894583333331</v>
      </c>
      <c r="E26" s="22">
        <f>+K17</f>
        <v>0.24651347333333332</v>
      </c>
      <c r="H26" s="11" t="s">
        <v>53</v>
      </c>
      <c r="I26" s="11" t="s">
        <v>54</v>
      </c>
      <c r="J26" s="11"/>
      <c r="K26" s="11"/>
      <c r="L26" s="11"/>
      <c r="M26" s="11"/>
    </row>
    <row r="27" spans="1:22" x14ac:dyDescent="0.45">
      <c r="A27" s="19" t="s">
        <v>40</v>
      </c>
      <c r="B27" s="11"/>
      <c r="C27" s="11"/>
      <c r="D27" s="21">
        <f>+L17</f>
        <v>9.1101382460624425</v>
      </c>
      <c r="E27" s="21">
        <f>+M17</f>
        <v>12.053010984582238</v>
      </c>
      <c r="H27" s="11" t="s">
        <v>55</v>
      </c>
      <c r="I27" s="11" t="s">
        <v>58</v>
      </c>
      <c r="J27" s="11"/>
      <c r="K27" s="11"/>
      <c r="L27" s="11"/>
      <c r="M27" s="11"/>
    </row>
    <row r="28" spans="1:22" ht="17.5" thickBot="1" x14ac:dyDescent="0.5">
      <c r="A28" s="25" t="s">
        <v>41</v>
      </c>
      <c r="B28" s="23"/>
      <c r="D28" s="22">
        <f>+N17</f>
        <v>14.956860996605961</v>
      </c>
      <c r="E28" s="22">
        <f>+O17</f>
        <v>19.110595027004546</v>
      </c>
      <c r="H28" s="12" t="s">
        <v>56</v>
      </c>
      <c r="I28" s="12" t="s">
        <v>57</v>
      </c>
      <c r="J28" s="12"/>
      <c r="K28" s="12"/>
      <c r="L28" s="12"/>
      <c r="M28" s="12"/>
    </row>
    <row r="29" spans="1:22" x14ac:dyDescent="0.45">
      <c r="A29" s="25" t="s">
        <v>42</v>
      </c>
      <c r="B29" s="23"/>
      <c r="C29" s="11"/>
      <c r="D29" s="21">
        <f>+D24/(SQRT(Q17)+SQRT(R17))</f>
        <v>8.4164703690468926E-2</v>
      </c>
      <c r="E29" s="21">
        <f>+E24/(SQRT(R17)+SQRT(S17))</f>
        <v>7.0686653268570585E-2</v>
      </c>
      <c r="H29" s="11" t="s">
        <v>73</v>
      </c>
    </row>
    <row r="30" spans="1:22" x14ac:dyDescent="0.45">
      <c r="A30" s="19" t="s">
        <v>43</v>
      </c>
      <c r="B30" s="11"/>
      <c r="D30" s="22">
        <f>+SQRT(T17/V17)</f>
        <v>0.94036171906995081</v>
      </c>
      <c r="E30" s="22">
        <f>+SQRT(U17)/SQRT(V17)</f>
        <v>1</v>
      </c>
    </row>
    <row r="31" spans="1:22" x14ac:dyDescent="0.45">
      <c r="B31" s="23" t="s">
        <v>70</v>
      </c>
      <c r="D31">
        <f>+D22^2/D23</f>
        <v>7.6116977904570407E-2</v>
      </c>
      <c r="E31">
        <f>+E22^2/E23</f>
        <v>9.3592717273508902E-2</v>
      </c>
    </row>
    <row r="32" spans="1:22" x14ac:dyDescent="0.45">
      <c r="B32" s="23" t="s">
        <v>71</v>
      </c>
      <c r="D32">
        <f>+(B18-C18)^2/D23</f>
        <v>4.0129061054058765E-2</v>
      </c>
      <c r="E32">
        <f>+(B18-D18)^2/E23</f>
        <v>0.30010112421460144</v>
      </c>
    </row>
    <row r="33" spans="2:5" x14ac:dyDescent="0.45">
      <c r="B33" s="23" t="s">
        <v>72</v>
      </c>
      <c r="D33">
        <f>2*(1-C19)*B18*C18/D23</f>
        <v>0.88534212300262494</v>
      </c>
      <c r="E33">
        <f>2*(1-D19)*B18*D18/E23</f>
        <v>0.62440109226138052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CEIC</vt:lpstr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learning</dc:creator>
  <cp:lastModifiedBy>Yong Yoon</cp:lastModifiedBy>
  <dcterms:created xsi:type="dcterms:W3CDTF">2016-12-08T06:22:15Z</dcterms:created>
  <dcterms:modified xsi:type="dcterms:W3CDTF">2026-04-29T15:20:39Z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owner">
    <vt:lpwstr>th-unescap1</vt:lpwstr>
  </property>
  <property fmtid="{D5CDD505-2E9C-101B-9397-08002B2CF9AE}" pid="3" name="CDMCEIC_ownerFullName">
    <vt:lpwstr>Somchai</vt:lpwstr>
  </property>
  <property fmtid="{D5CDD505-2E9C-101B-9397-08002B2CF9AE}" pid="4" name="CDMCEIC_readOnly">
    <vt:lpwstr>False</vt:lpwstr>
  </property>
  <property fmtid="{D5CDD505-2E9C-101B-9397-08002B2CF9AE}" pid="5" name="CDMCEIC_autoRefresh">
    <vt:lpwstr>False</vt:lpwstr>
  </property>
  <property fmtid="{D5CDD505-2E9C-101B-9397-08002B2CF9AE}" pid="6" name="CDMCEIC_description">
    <vt:lpwstr/>
  </property>
</Properties>
</file>